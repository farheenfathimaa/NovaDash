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Data Cleaning" sheetId="2" r:id="rId2"/>
    <sheet name="Analysis" sheetId="3" r:id="rId3"/>
    <sheet name="KPI Summary" sheetId="4" r:id="rId4"/>
    <sheet name="Charts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<sst xmlns="http://schemas.openxmlformats.org/spreadsheetml/2006/main" count="2789" uniqueCount="634">
  <si>
    <t>Order_ID</t>
  </si>
  <si>
    <t>Date</t>
  </si>
  <si>
    <t>Region</t>
  </si>
  <si>
    <t>Category</t>
  </si>
  <si>
    <t>Sub_Category</t>
  </si>
  <si>
    <t>Product_Name</t>
  </si>
  <si>
    <t>Units_Sold</t>
  </si>
  <si>
    <t>Unit_Price</t>
  </si>
  <si>
    <t>Discount_Pct</t>
  </si>
  <si>
    <t>Revenue</t>
  </si>
  <si>
    <t>Cost</t>
  </si>
  <si>
    <t>Profit</t>
  </si>
  <si>
    <t>NM-1000</t>
  </si>
  <si>
    <t>Central</t>
  </si>
  <si>
    <t>Office Supplies</t>
  </si>
  <si>
    <t>Stationery</t>
  </si>
  <si>
    <t>Gel Pens</t>
  </si>
  <si>
    <t>NM-1001</t>
  </si>
  <si>
    <t>East</t>
  </si>
  <si>
    <t>Electronics</t>
  </si>
  <si>
    <t>Laptops</t>
  </si>
  <si>
    <t>HP Spectre</t>
  </si>
  <si>
    <t>NM-1002</t>
  </si>
  <si>
    <t>Furniture</t>
  </si>
  <si>
    <t>Storage</t>
  </si>
  <si>
    <t>File Cabinet</t>
  </si>
  <si>
    <t>NM-1003</t>
  </si>
  <si>
    <t>Binders</t>
  </si>
  <si>
    <t>File Organizer</t>
  </si>
  <si>
    <t>NM-1004</t>
  </si>
  <si>
    <t>Phones</t>
  </si>
  <si>
    <t>Samsung S23</t>
  </si>
  <si>
    <t>NM-1005</t>
  </si>
  <si>
    <t>Notebooks</t>
  </si>
  <si>
    <t>NM-1006</t>
  </si>
  <si>
    <t>South</t>
  </si>
  <si>
    <t>Tables</t>
  </si>
  <si>
    <t>Dining Table</t>
  </si>
  <si>
    <t>NM-1007</t>
  </si>
  <si>
    <t>OnePlus 11</t>
  </si>
  <si>
    <t>NM-1008</t>
  </si>
  <si>
    <t>Side Table</t>
  </si>
  <si>
    <t>NM-1009</t>
  </si>
  <si>
    <t>North</t>
  </si>
  <si>
    <t>NM-1010</t>
  </si>
  <si>
    <t>Accessories</t>
  </si>
  <si>
    <t>Keyboard</t>
  </si>
  <si>
    <t>NM-1011</t>
  </si>
  <si>
    <t>NM-1012</t>
  </si>
  <si>
    <t>MacBook Air</t>
  </si>
  <si>
    <t>NM-1013</t>
  </si>
  <si>
    <t>Lenovo X1 Carbon</t>
  </si>
  <si>
    <t>NM-1014</t>
  </si>
  <si>
    <t>NM-1015</t>
  </si>
  <si>
    <t>NM-1016</t>
  </si>
  <si>
    <t>West</t>
  </si>
  <si>
    <t>NM-1017</t>
  </si>
  <si>
    <t>Paper</t>
  </si>
  <si>
    <t>Sticky Notes</t>
  </si>
  <si>
    <t>NM-1018</t>
  </si>
  <si>
    <t>Bookshelf</t>
  </si>
  <si>
    <t>NM-1019</t>
  </si>
  <si>
    <t>NM-1020</t>
  </si>
  <si>
    <t>3-Ring Binder</t>
  </si>
  <si>
    <t>NM-1021</t>
  </si>
  <si>
    <t>Envelopes</t>
  </si>
  <si>
    <t>NM-1022</t>
  </si>
  <si>
    <t>NM-1023</t>
  </si>
  <si>
    <t>Chairs</t>
  </si>
  <si>
    <t>Gaming Seat</t>
  </si>
  <si>
    <t>NM-1024</t>
  </si>
  <si>
    <t>NM-1025</t>
  </si>
  <si>
    <t>NM-1026</t>
  </si>
  <si>
    <t>NM-1027</t>
  </si>
  <si>
    <t>Work Desk</t>
  </si>
  <si>
    <t>NM-1028</t>
  </si>
  <si>
    <t>Coffee Table</t>
  </si>
  <si>
    <t>NM-1029</t>
  </si>
  <si>
    <t>NM-1030</t>
  </si>
  <si>
    <t>NM-1031</t>
  </si>
  <si>
    <t>Markers</t>
  </si>
  <si>
    <t>NM-1032</t>
  </si>
  <si>
    <t>NM-1033</t>
  </si>
  <si>
    <t>Google Pixel 8</t>
  </si>
  <si>
    <t>NM-1034</t>
  </si>
  <si>
    <t>NM-1035</t>
  </si>
  <si>
    <t>AirPods</t>
  </si>
  <si>
    <t>NM-1036</t>
  </si>
  <si>
    <t>NM-1037</t>
  </si>
  <si>
    <t>NM-1038</t>
  </si>
  <si>
    <t>NM-1039</t>
  </si>
  <si>
    <t>NM-1040</t>
  </si>
  <si>
    <t>NM-1041</t>
  </si>
  <si>
    <t>ErgoChair</t>
  </si>
  <si>
    <t>NM-1042</t>
  </si>
  <si>
    <t>NM-1043</t>
  </si>
  <si>
    <t>NM-1044</t>
  </si>
  <si>
    <t>Dell Monitor</t>
  </si>
  <si>
    <t>NM-1045</t>
  </si>
  <si>
    <t>Logitech Mouse</t>
  </si>
  <si>
    <t>NM-1046</t>
  </si>
  <si>
    <t>Folder Set</t>
  </si>
  <si>
    <t>NM-1047</t>
  </si>
  <si>
    <t>NM-1048</t>
  </si>
  <si>
    <t>NM-1049</t>
  </si>
  <si>
    <t>NM-1050</t>
  </si>
  <si>
    <t>NM-1051</t>
  </si>
  <si>
    <t>NM-1052</t>
  </si>
  <si>
    <t>NM-1053</t>
  </si>
  <si>
    <t>NM-1054</t>
  </si>
  <si>
    <t>NM-1055</t>
  </si>
  <si>
    <t>NM-1056</t>
  </si>
  <si>
    <t>NM-1057</t>
  </si>
  <si>
    <t>NM-1058</t>
  </si>
  <si>
    <t>NM-1059</t>
  </si>
  <si>
    <t>Stapler</t>
  </si>
  <si>
    <t>NM-1060</t>
  </si>
  <si>
    <t>Plastic Bin</t>
  </si>
  <si>
    <t>NM-1061</t>
  </si>
  <si>
    <t>NM-1062</t>
  </si>
  <si>
    <t>NM-1063</t>
  </si>
  <si>
    <t>Legal Pad</t>
  </si>
  <si>
    <t>NM-1064</t>
  </si>
  <si>
    <t>NM-1065</t>
  </si>
  <si>
    <t>NM-1066</t>
  </si>
  <si>
    <t>NM-1067</t>
  </si>
  <si>
    <t>NM-1068</t>
  </si>
  <si>
    <t>NM-1069</t>
  </si>
  <si>
    <t>NM-1070</t>
  </si>
  <si>
    <t>NM-1071</t>
  </si>
  <si>
    <t>iPhone 15</t>
  </si>
  <si>
    <t>NM-1072</t>
  </si>
  <si>
    <t>NM-1073</t>
  </si>
  <si>
    <t>NM-1074</t>
  </si>
  <si>
    <t>NM-1075</t>
  </si>
  <si>
    <t>NM-1076</t>
  </si>
  <si>
    <t>NM-1077</t>
  </si>
  <si>
    <t>NM-1078</t>
  </si>
  <si>
    <t>NM-1079</t>
  </si>
  <si>
    <t>NM-1080</t>
  </si>
  <si>
    <t>Clip Binder</t>
  </si>
  <si>
    <t>NM-1081</t>
  </si>
  <si>
    <t>NM-1082</t>
  </si>
  <si>
    <t>NM-1083</t>
  </si>
  <si>
    <t>NM-1084</t>
  </si>
  <si>
    <t>NM-1085</t>
  </si>
  <si>
    <t>NM-1086</t>
  </si>
  <si>
    <t>Storage Box</t>
  </si>
  <si>
    <t>NM-1087</t>
  </si>
  <si>
    <t>A4 Paper</t>
  </si>
  <si>
    <t>NM-1088</t>
  </si>
  <si>
    <t>NM-1089</t>
  </si>
  <si>
    <t>Folding Chair</t>
  </si>
  <si>
    <t>NM-1090</t>
  </si>
  <si>
    <t>NM-1091</t>
  </si>
  <si>
    <t>NM-1092</t>
  </si>
  <si>
    <t>NM-1093</t>
  </si>
  <si>
    <t>NM-1094</t>
  </si>
  <si>
    <t>NM-1095</t>
  </si>
  <si>
    <t>NM-1096</t>
  </si>
  <si>
    <t>NM-1097</t>
  </si>
  <si>
    <t>NM-1098</t>
  </si>
  <si>
    <t>NM-1099</t>
  </si>
  <si>
    <t>NM-1100</t>
  </si>
  <si>
    <t>NM-1101</t>
  </si>
  <si>
    <t>NM-1102</t>
  </si>
  <si>
    <t>NM-1103</t>
  </si>
  <si>
    <t>NM-1104</t>
  </si>
  <si>
    <t>NM-1105</t>
  </si>
  <si>
    <t>NM-1106</t>
  </si>
  <si>
    <t>NM-1107</t>
  </si>
  <si>
    <t>NM-1108</t>
  </si>
  <si>
    <t>Dell XPS 13</t>
  </si>
  <si>
    <t>NM-1109</t>
  </si>
  <si>
    <t>NM-1110</t>
  </si>
  <si>
    <t>NM-1111</t>
  </si>
  <si>
    <t>NM-1112</t>
  </si>
  <si>
    <t>NM-1113</t>
  </si>
  <si>
    <t>NM-1114</t>
  </si>
  <si>
    <t>NM-1115</t>
  </si>
  <si>
    <t>NM-1116</t>
  </si>
  <si>
    <t>NM-1117</t>
  </si>
  <si>
    <t>NM-1118</t>
  </si>
  <si>
    <t>NM-1119</t>
  </si>
  <si>
    <t>NM-1120</t>
  </si>
  <si>
    <t>NM-1121</t>
  </si>
  <si>
    <t>NM-1122</t>
  </si>
  <si>
    <t>NM-1123</t>
  </si>
  <si>
    <t>NM-1124</t>
  </si>
  <si>
    <t>NM-1125</t>
  </si>
  <si>
    <t>NM-1126</t>
  </si>
  <si>
    <t>NM-1127</t>
  </si>
  <si>
    <t>NM-1128</t>
  </si>
  <si>
    <t>NM-1129</t>
  </si>
  <si>
    <t>NM-1130</t>
  </si>
  <si>
    <t>NM-1131</t>
  </si>
  <si>
    <t>NM-1132</t>
  </si>
  <si>
    <t>NM-1133</t>
  </si>
  <si>
    <t>NM-1134</t>
  </si>
  <si>
    <t>NM-1135</t>
  </si>
  <si>
    <t>NM-1136</t>
  </si>
  <si>
    <t>NM-1137</t>
  </si>
  <si>
    <t>NM-1138</t>
  </si>
  <si>
    <t>NM-1139</t>
  </si>
  <si>
    <t>NM-1140</t>
  </si>
  <si>
    <t>NM-1141</t>
  </si>
  <si>
    <t>NM-1142</t>
  </si>
  <si>
    <t>NM-1143</t>
  </si>
  <si>
    <t>NM-1144</t>
  </si>
  <si>
    <t>NM-1145</t>
  </si>
  <si>
    <t>NM-1146</t>
  </si>
  <si>
    <t>NM-1147</t>
  </si>
  <si>
    <t>NM-1148</t>
  </si>
  <si>
    <t>NM-1149</t>
  </si>
  <si>
    <t>NM-1150</t>
  </si>
  <si>
    <t>NM-1151</t>
  </si>
  <si>
    <t>NM-1152</t>
  </si>
  <si>
    <t>NM-1153</t>
  </si>
  <si>
    <t>NM-1154</t>
  </si>
  <si>
    <t>NM-1155</t>
  </si>
  <si>
    <t>NM-1156</t>
  </si>
  <si>
    <t>NM-1157</t>
  </si>
  <si>
    <t>NM-1158</t>
  </si>
  <si>
    <t>NM-1159</t>
  </si>
  <si>
    <t>NM-1160</t>
  </si>
  <si>
    <t>NM-1161</t>
  </si>
  <si>
    <t>NM-1162</t>
  </si>
  <si>
    <t>NM-1163</t>
  </si>
  <si>
    <t>NM-1164</t>
  </si>
  <si>
    <t>NM-1165</t>
  </si>
  <si>
    <t>NM-1166</t>
  </si>
  <si>
    <t>NM-1167</t>
  </si>
  <si>
    <t>NM-1168</t>
  </si>
  <si>
    <t>NM-1169</t>
  </si>
  <si>
    <t>NM-1170</t>
  </si>
  <si>
    <t>NM-1171</t>
  </si>
  <si>
    <t>NM-1172</t>
  </si>
  <si>
    <t>NM-1173</t>
  </si>
  <si>
    <t>NM-1174</t>
  </si>
  <si>
    <t>NM-1175</t>
  </si>
  <si>
    <t>Mesh Executive</t>
  </si>
  <si>
    <t>NM-1176</t>
  </si>
  <si>
    <t>NM-1177</t>
  </si>
  <si>
    <t>NM-1178</t>
  </si>
  <si>
    <t>NM-1179</t>
  </si>
  <si>
    <t>NM-1180</t>
  </si>
  <si>
    <t>NM-1181</t>
  </si>
  <si>
    <t>NM-1182</t>
  </si>
  <si>
    <t>NM-1183</t>
  </si>
  <si>
    <t>NM-1184</t>
  </si>
  <si>
    <t>NM-1185</t>
  </si>
  <si>
    <t>NM-1186</t>
  </si>
  <si>
    <t>NM-1187</t>
  </si>
  <si>
    <t>NM-1188</t>
  </si>
  <si>
    <t>NM-1189</t>
  </si>
  <si>
    <t>NM-1190</t>
  </si>
  <si>
    <t>NM-1191</t>
  </si>
  <si>
    <t>NM-1192</t>
  </si>
  <si>
    <t>NM-1193</t>
  </si>
  <si>
    <t>NM-1194</t>
  </si>
  <si>
    <t>NM-1195</t>
  </si>
  <si>
    <t>NM-1196</t>
  </si>
  <si>
    <t>NM-1197</t>
  </si>
  <si>
    <t>NM-1198</t>
  </si>
  <si>
    <t>NM-1199</t>
  </si>
  <si>
    <t>NM-1200</t>
  </si>
  <si>
    <t>NM-1201</t>
  </si>
  <si>
    <t>NM-1202</t>
  </si>
  <si>
    <t>NM-1203</t>
  </si>
  <si>
    <t>NM-1204</t>
  </si>
  <si>
    <t>NM-1205</t>
  </si>
  <si>
    <t>NM-1206</t>
  </si>
  <si>
    <t>NM-1207</t>
  </si>
  <si>
    <t>NM-1208</t>
  </si>
  <si>
    <t>NM-1209</t>
  </si>
  <si>
    <t>NM-1210</t>
  </si>
  <si>
    <t>NM-1211</t>
  </si>
  <si>
    <t>NM-1212</t>
  </si>
  <si>
    <t>NM-1213</t>
  </si>
  <si>
    <t>NM-1214</t>
  </si>
  <si>
    <t>NM-1215</t>
  </si>
  <si>
    <t>NM-1216</t>
  </si>
  <si>
    <t>NM-1217</t>
  </si>
  <si>
    <t>NM-1218</t>
  </si>
  <si>
    <t>NM-1219</t>
  </si>
  <si>
    <t>NM-1220</t>
  </si>
  <si>
    <t>NM-1221</t>
  </si>
  <si>
    <t>NM-1222</t>
  </si>
  <si>
    <t>NM-1223</t>
  </si>
  <si>
    <t>NM-1224</t>
  </si>
  <si>
    <t>NM-1225</t>
  </si>
  <si>
    <t>NM-1226</t>
  </si>
  <si>
    <t>NM-1227</t>
  </si>
  <si>
    <t>NM-1228</t>
  </si>
  <si>
    <t>NM-1229</t>
  </si>
  <si>
    <t>NM-1230</t>
  </si>
  <si>
    <t>NM-1231</t>
  </si>
  <si>
    <t>NM-1232</t>
  </si>
  <si>
    <t>NM-1233</t>
  </si>
  <si>
    <t>NM-1234</t>
  </si>
  <si>
    <t>NM-1235</t>
  </si>
  <si>
    <t>NM-1236</t>
  </si>
  <si>
    <t>NM-1237</t>
  </si>
  <si>
    <t>NM-1238</t>
  </si>
  <si>
    <t>NM-1239</t>
  </si>
  <si>
    <t>NM-1240</t>
  </si>
  <si>
    <t>NM-1241</t>
  </si>
  <si>
    <t>NM-1242</t>
  </si>
  <si>
    <t>NM-1243</t>
  </si>
  <si>
    <t>NM-1244</t>
  </si>
  <si>
    <t>NM-1245</t>
  </si>
  <si>
    <t>NM-1246</t>
  </si>
  <si>
    <t>NM-1247</t>
  </si>
  <si>
    <t>NM-1248</t>
  </si>
  <si>
    <t>NM-1249</t>
  </si>
  <si>
    <t>NM-1250</t>
  </si>
  <si>
    <t>NM-1251</t>
  </si>
  <si>
    <t>NM-1252</t>
  </si>
  <si>
    <t>NM-1253</t>
  </si>
  <si>
    <t>NM-1254</t>
  </si>
  <si>
    <t>NM-1255</t>
  </si>
  <si>
    <t>NM-1256</t>
  </si>
  <si>
    <t>NM-1257</t>
  </si>
  <si>
    <t>NM-1258</t>
  </si>
  <si>
    <t>NM-1259</t>
  </si>
  <si>
    <t>NM-1260</t>
  </si>
  <si>
    <t>NM-1261</t>
  </si>
  <si>
    <t>NM-1262</t>
  </si>
  <si>
    <t>NM-1263</t>
  </si>
  <si>
    <t>NM-1264</t>
  </si>
  <si>
    <t>NM-1265</t>
  </si>
  <si>
    <t>NM-1266</t>
  </si>
  <si>
    <t>NM-1267</t>
  </si>
  <si>
    <t>NM-1268</t>
  </si>
  <si>
    <t>NM-1269</t>
  </si>
  <si>
    <t>NM-1270</t>
  </si>
  <si>
    <t>NM-1271</t>
  </si>
  <si>
    <t>NM-1272</t>
  </si>
  <si>
    <t>NM-1273</t>
  </si>
  <si>
    <t>NM-1274</t>
  </si>
  <si>
    <t>NM-1275</t>
  </si>
  <si>
    <t>NM-1276</t>
  </si>
  <si>
    <t>NM-1277</t>
  </si>
  <si>
    <t>NM-1278</t>
  </si>
  <si>
    <t>NM-1279</t>
  </si>
  <si>
    <t>NM-1280</t>
  </si>
  <si>
    <t>NM-1281</t>
  </si>
  <si>
    <t>NM-1282</t>
  </si>
  <si>
    <t>NM-1283</t>
  </si>
  <si>
    <t>NM-1284</t>
  </si>
  <si>
    <t>NM-1285</t>
  </si>
  <si>
    <t>NM-1286</t>
  </si>
  <si>
    <t>NM-1287</t>
  </si>
  <si>
    <t>NM-1288</t>
  </si>
  <si>
    <t>NM-1289</t>
  </si>
  <si>
    <t>NM-1290</t>
  </si>
  <si>
    <t>NM-1291</t>
  </si>
  <si>
    <t>NM-1292</t>
  </si>
  <si>
    <t>NM-1293</t>
  </si>
  <si>
    <t>NM-1294</t>
  </si>
  <si>
    <t>NM-1295</t>
  </si>
  <si>
    <t>NM-1296</t>
  </si>
  <si>
    <t>NM-1297</t>
  </si>
  <si>
    <t>NM-1298</t>
  </si>
  <si>
    <t>NM-1299</t>
  </si>
  <si>
    <t>NM-1300</t>
  </si>
  <si>
    <t>NM-1301</t>
  </si>
  <si>
    <t>NM-1302</t>
  </si>
  <si>
    <t>NM-1303</t>
  </si>
  <si>
    <t>NM-1304</t>
  </si>
  <si>
    <t>NM-1305</t>
  </si>
  <si>
    <t>NM-1306</t>
  </si>
  <si>
    <t>NM-1307</t>
  </si>
  <si>
    <t>NM-1308</t>
  </si>
  <si>
    <t>NM-1309</t>
  </si>
  <si>
    <t>NM-1310</t>
  </si>
  <si>
    <t>NM-1311</t>
  </si>
  <si>
    <t>NM-1312</t>
  </si>
  <si>
    <t>NM-1313</t>
  </si>
  <si>
    <t>NM-1314</t>
  </si>
  <si>
    <t>NM-1315</t>
  </si>
  <si>
    <t>NM-1316</t>
  </si>
  <si>
    <t>NM-1317</t>
  </si>
  <si>
    <t>NM-1318</t>
  </si>
  <si>
    <t>NM-1319</t>
  </si>
  <si>
    <t>NM-1320</t>
  </si>
  <si>
    <t>NM-1321</t>
  </si>
  <si>
    <t>NM-1322</t>
  </si>
  <si>
    <t>NM-1323</t>
  </si>
  <si>
    <t>NM-1324</t>
  </si>
  <si>
    <t>NM-1325</t>
  </si>
  <si>
    <t>NM-1326</t>
  </si>
  <si>
    <t>NM-1327</t>
  </si>
  <si>
    <t>NM-1328</t>
  </si>
  <si>
    <t>NM-1329</t>
  </si>
  <si>
    <t>NM-1330</t>
  </si>
  <si>
    <t>NM-1331</t>
  </si>
  <si>
    <t>NM-1332</t>
  </si>
  <si>
    <t>NM-1333</t>
  </si>
  <si>
    <t>NM-1334</t>
  </si>
  <si>
    <t>NM-1335</t>
  </si>
  <si>
    <t>NM-1336</t>
  </si>
  <si>
    <t>NM-1337</t>
  </si>
  <si>
    <t>NM-1338</t>
  </si>
  <si>
    <t>NM-1339</t>
  </si>
  <si>
    <t>NM-1340</t>
  </si>
  <si>
    <t>NM-1341</t>
  </si>
  <si>
    <t>NM-1342</t>
  </si>
  <si>
    <t>NM-1343</t>
  </si>
  <si>
    <t>NM-1344</t>
  </si>
  <si>
    <t>NM-1345</t>
  </si>
  <si>
    <t>NM-1346</t>
  </si>
  <si>
    <t>NM-1347</t>
  </si>
  <si>
    <t>NM-1348</t>
  </si>
  <si>
    <t>NM-1349</t>
  </si>
  <si>
    <t>NM-1350</t>
  </si>
  <si>
    <t>NM-1351</t>
  </si>
  <si>
    <t>NM-1352</t>
  </si>
  <si>
    <t>NM-1353</t>
  </si>
  <si>
    <t>NM-1354</t>
  </si>
  <si>
    <t>NM-1355</t>
  </si>
  <si>
    <t>NM-1356</t>
  </si>
  <si>
    <t>NM-1357</t>
  </si>
  <si>
    <t>NM-1358</t>
  </si>
  <si>
    <t>NM-1359</t>
  </si>
  <si>
    <t>NM-1360</t>
  </si>
  <si>
    <t>NM-1361</t>
  </si>
  <si>
    <t>NM-1362</t>
  </si>
  <si>
    <t>NM-1363</t>
  </si>
  <si>
    <t>NM-1364</t>
  </si>
  <si>
    <t>NM-1365</t>
  </si>
  <si>
    <t>NM-1366</t>
  </si>
  <si>
    <t>NM-1367</t>
  </si>
  <si>
    <t>NM-1368</t>
  </si>
  <si>
    <t>NM-1369</t>
  </si>
  <si>
    <t>NM-1370</t>
  </si>
  <si>
    <t>NM-1371</t>
  </si>
  <si>
    <t>NM-1372</t>
  </si>
  <si>
    <t>NM-1373</t>
  </si>
  <si>
    <t>NM-1374</t>
  </si>
  <si>
    <t>NM-1375</t>
  </si>
  <si>
    <t>NM-1376</t>
  </si>
  <si>
    <t>NM-1377</t>
  </si>
  <si>
    <t>NM-1378</t>
  </si>
  <si>
    <t>NM-1379</t>
  </si>
  <si>
    <t>NM-1380</t>
  </si>
  <si>
    <t>NM-1381</t>
  </si>
  <si>
    <t>NM-1382</t>
  </si>
  <si>
    <t>NM-1383</t>
  </si>
  <si>
    <t>NM-1384</t>
  </si>
  <si>
    <t>NM-1385</t>
  </si>
  <si>
    <t>NM-1386</t>
  </si>
  <si>
    <t>NM-1387</t>
  </si>
  <si>
    <t>NM-1388</t>
  </si>
  <si>
    <t>NM-1389</t>
  </si>
  <si>
    <t>NM-1390</t>
  </si>
  <si>
    <t>NM-1391</t>
  </si>
  <si>
    <t>NM-1392</t>
  </si>
  <si>
    <t>NM-1393</t>
  </si>
  <si>
    <t>NM-1394</t>
  </si>
  <si>
    <t>NM-1395</t>
  </si>
  <si>
    <t>NM-1396</t>
  </si>
  <si>
    <t>NM-1397</t>
  </si>
  <si>
    <t>NM-1398</t>
  </si>
  <si>
    <t>NM-1399</t>
  </si>
  <si>
    <t>NM-1400</t>
  </si>
  <si>
    <t>NM-1401</t>
  </si>
  <si>
    <t>NM-1402</t>
  </si>
  <si>
    <t>NM-1403</t>
  </si>
  <si>
    <t>NM-1404</t>
  </si>
  <si>
    <t>NM-1405</t>
  </si>
  <si>
    <t>NM-1406</t>
  </si>
  <si>
    <t>NM-1407</t>
  </si>
  <si>
    <t>NM-1408</t>
  </si>
  <si>
    <t>NM-1409</t>
  </si>
  <si>
    <t>NM-1410</t>
  </si>
  <si>
    <t>NM-1411</t>
  </si>
  <si>
    <t>NM-1412</t>
  </si>
  <si>
    <t>NM-1413</t>
  </si>
  <si>
    <t>NM-1414</t>
  </si>
  <si>
    <t>NM-1415</t>
  </si>
  <si>
    <t>NM-1416</t>
  </si>
  <si>
    <t>NM-1417</t>
  </si>
  <si>
    <t>NM-1418</t>
  </si>
  <si>
    <t>NM-1419</t>
  </si>
  <si>
    <t>NM-1420</t>
  </si>
  <si>
    <t>NM-1421</t>
  </si>
  <si>
    <t>NM-1422</t>
  </si>
  <si>
    <t>NM-1423</t>
  </si>
  <si>
    <t>NM-1424</t>
  </si>
  <si>
    <t>NM-1425</t>
  </si>
  <si>
    <t>NM-1426</t>
  </si>
  <si>
    <t>NM-1427</t>
  </si>
  <si>
    <t>NM-1428</t>
  </si>
  <si>
    <t>NM-1429</t>
  </si>
  <si>
    <t>NM-1430</t>
  </si>
  <si>
    <t>NM-1431</t>
  </si>
  <si>
    <t>NM-1432</t>
  </si>
  <si>
    <t>NM-1433</t>
  </si>
  <si>
    <t>NM-1434</t>
  </si>
  <si>
    <t>NM-1435</t>
  </si>
  <si>
    <t>NM-1436</t>
  </si>
  <si>
    <t>NM-1437</t>
  </si>
  <si>
    <t>NM-1438</t>
  </si>
  <si>
    <t>NM-1439</t>
  </si>
  <si>
    <t>NM-1440</t>
  </si>
  <si>
    <t>NM-1441</t>
  </si>
  <si>
    <t>NM-1442</t>
  </si>
  <si>
    <t>NM-1443</t>
  </si>
  <si>
    <t>NM-1444</t>
  </si>
  <si>
    <t>NM-1445</t>
  </si>
  <si>
    <t>NM-1446</t>
  </si>
  <si>
    <t>NM-1447</t>
  </si>
  <si>
    <t>NM-1448</t>
  </si>
  <si>
    <t>NM-1449</t>
  </si>
  <si>
    <t>NM-1450</t>
  </si>
  <si>
    <t>NM-1451</t>
  </si>
  <si>
    <t>NM-1452</t>
  </si>
  <si>
    <t>NM-1453</t>
  </si>
  <si>
    <t>NM-1454</t>
  </si>
  <si>
    <t>NM-1455</t>
  </si>
  <si>
    <t>NM-1456</t>
  </si>
  <si>
    <t>NM-1457</t>
  </si>
  <si>
    <t>NM-1458</t>
  </si>
  <si>
    <t>NM-1459</t>
  </si>
  <si>
    <t>NM-1460</t>
  </si>
  <si>
    <t>NM-1461</t>
  </si>
  <si>
    <t>NM-1462</t>
  </si>
  <si>
    <t>NM-1463</t>
  </si>
  <si>
    <t>NM-1464</t>
  </si>
  <si>
    <t>NM-1465</t>
  </si>
  <si>
    <t>NM-1466</t>
  </si>
  <si>
    <t>NM-1467</t>
  </si>
  <si>
    <t>NM-1468</t>
  </si>
  <si>
    <t>NM-1469</t>
  </si>
  <si>
    <t>NM-1470</t>
  </si>
  <si>
    <t>NM-1471</t>
  </si>
  <si>
    <t>NM-1472</t>
  </si>
  <si>
    <t>NM-1473</t>
  </si>
  <si>
    <t>NM-1474</t>
  </si>
  <si>
    <t>NM-1475</t>
  </si>
  <si>
    <t>NM-1476</t>
  </si>
  <si>
    <t>NM-1477</t>
  </si>
  <si>
    <t>NM-1478</t>
  </si>
  <si>
    <t>NM-1479</t>
  </si>
  <si>
    <t>NM-1480</t>
  </si>
  <si>
    <t>NM-1481</t>
  </si>
  <si>
    <t>NM-1482</t>
  </si>
  <si>
    <t>NM-1483</t>
  </si>
  <si>
    <t>NM-1484</t>
  </si>
  <si>
    <t>NM-1485</t>
  </si>
  <si>
    <t>NM-1486</t>
  </si>
  <si>
    <t>NM-1487</t>
  </si>
  <si>
    <t>NM-1488</t>
  </si>
  <si>
    <t>NM-1489</t>
  </si>
  <si>
    <t>NM-1490</t>
  </si>
  <si>
    <t>NM-1491</t>
  </si>
  <si>
    <t>NM-1492</t>
  </si>
  <si>
    <t>NM-1493</t>
  </si>
  <si>
    <t>NM-1494</t>
  </si>
  <si>
    <t>NM-1495</t>
  </si>
  <si>
    <t>NM-1496</t>
  </si>
  <si>
    <t>NM-1497</t>
  </si>
  <si>
    <t>NM-1498</t>
  </si>
  <si>
    <t>NM-1499</t>
  </si>
  <si>
    <t>NM-1500</t>
  </si>
  <si>
    <t>NM-1501</t>
  </si>
  <si>
    <t>NM-1502</t>
  </si>
  <si>
    <t>NM-1503</t>
  </si>
  <si>
    <t>NM-1504</t>
  </si>
  <si>
    <t>NM-1505</t>
  </si>
  <si>
    <t>NM-1506</t>
  </si>
  <si>
    <t>NM-1507</t>
  </si>
  <si>
    <t>NM-1508</t>
  </si>
  <si>
    <t>NM-1509</t>
  </si>
  <si>
    <t>NM-1510</t>
  </si>
  <si>
    <t>NM-1511</t>
  </si>
  <si>
    <t>NM-1512</t>
  </si>
  <si>
    <t>NM-1513</t>
  </si>
  <si>
    <t>NM-1514</t>
  </si>
  <si>
    <t>NM-1515</t>
  </si>
  <si>
    <t>NM-1516</t>
  </si>
  <si>
    <t>NM-1517</t>
  </si>
  <si>
    <t>NM-1518</t>
  </si>
  <si>
    <t>NM-1519</t>
  </si>
  <si>
    <t>NM-1520</t>
  </si>
  <si>
    <t>NM-1521</t>
  </si>
  <si>
    <t>NM-1522</t>
  </si>
  <si>
    <t>NM-1523</t>
  </si>
  <si>
    <t>NM-1524</t>
  </si>
  <si>
    <t>NM-1525</t>
  </si>
  <si>
    <t>NM-1526</t>
  </si>
  <si>
    <t>NM-1527</t>
  </si>
  <si>
    <t>NM-1528</t>
  </si>
  <si>
    <t>NM-1529</t>
  </si>
  <si>
    <t>NM-1530</t>
  </si>
  <si>
    <t>NM-1531</t>
  </si>
  <si>
    <t>NM-1532</t>
  </si>
  <si>
    <t>NM-1533</t>
  </si>
  <si>
    <t>NM-1534</t>
  </si>
  <si>
    <t>NM-1535</t>
  </si>
  <si>
    <t>NM-1536</t>
  </si>
  <si>
    <t>NM-1537</t>
  </si>
  <si>
    <t>NM-1538</t>
  </si>
  <si>
    <t>NM-1539</t>
  </si>
  <si>
    <t>NM-1540</t>
  </si>
  <si>
    <t>NM-1541</t>
  </si>
  <si>
    <t>NM-1542</t>
  </si>
  <si>
    <t>NM-1543</t>
  </si>
  <si>
    <t>NM-1544</t>
  </si>
  <si>
    <t>NM-1545</t>
  </si>
  <si>
    <t>NM-1546</t>
  </si>
  <si>
    <t>NM-1547</t>
  </si>
  <si>
    <t>NM-1548</t>
  </si>
  <si>
    <t>NM-1549</t>
  </si>
  <si>
    <t>Step</t>
  </si>
  <si>
    <t>Description</t>
  </si>
  <si>
    <t>Formula/Action</t>
  </si>
  <si>
    <t>Trim Whitespace</t>
  </si>
  <si>
    <t>Removed leading/trailing spaces from Product_Name</t>
  </si>
  <si>
    <t>Handle Errors</t>
  </si>
  <si>
    <t>Used IFERROR to manage missing price lookups</t>
  </si>
  <si>
    <t>Profit Margin</t>
  </si>
  <si>
    <t>Calculate Margin % at row level</t>
  </si>
  <si>
    <t>Remove Duplicates</t>
  </si>
  <si>
    <t>Standard data hygiene for Order_ID</t>
  </si>
  <si>
    <t>Data -&gt; Remove Duplicates</t>
  </si>
  <si>
    <t>Consistency</t>
  </si>
  <si>
    <t>Ensure Region capitalization is uniform</t>
  </si>
  <si>
    <t>Total Revenue</t>
  </si>
  <si>
    <t>Total Profit</t>
  </si>
  <si>
    <t>Overall Profit Margin</t>
  </si>
  <si>
    <t>Average Order Value</t>
  </si>
  <si>
    <t>NovaMart Performance Dashboard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</si>
</sst>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2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by Category</c:v>
          </c:tx>
          <c:cat>
            <c:strRef>
              <c:f>Analysis!$A$2:$A$4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45422</v>
      </c>
      <c r="C2" t="s">
        <v>13</v>
      </c>
      <c r="D2" t="s">
        <v>14</v>
      </c>
      <c r="E2" t="s">
        <v>15</v>
      </c>
      <c r="F2" t="s">
        <v>16</v>
      </c>
      <c r="G2">
        <v>13</v>
      </c>
      <c r="H2" s="3">
        <v>21</v>
      </c>
      <c r="I2" s="4">
        <v>0.05</v>
      </c>
      <c r="J2" s="3">
        <f>G2*H2*(1-I2)</f>
        <v>0</v>
      </c>
      <c r="K2" s="3">
        <f>G2*H2*0.65</f>
        <v>0</v>
      </c>
      <c r="L2" s="3">
        <f>J2-K2</f>
        <v>0</v>
      </c>
    </row>
    <row r="3" spans="1:12">
      <c r="A3" t="s">
        <v>17</v>
      </c>
      <c r="B3" s="2">
        <v>45606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 s="3">
        <v>128</v>
      </c>
      <c r="I3" s="4">
        <v>0.05</v>
      </c>
      <c r="J3" s="3">
        <f>G3*H3*(1-I3)</f>
        <v>0</v>
      </c>
      <c r="K3" s="3">
        <f>G3*H3*0.65</f>
        <v>0</v>
      </c>
      <c r="L3" s="3">
        <f>J3-K3</f>
        <v>0</v>
      </c>
    </row>
    <row r="4" spans="1:12">
      <c r="A4" t="s">
        <v>22</v>
      </c>
      <c r="B4" s="2">
        <v>44683</v>
      </c>
      <c r="C4" t="s">
        <v>13</v>
      </c>
      <c r="D4" t="s">
        <v>23</v>
      </c>
      <c r="E4" t="s">
        <v>24</v>
      </c>
      <c r="F4" t="s">
        <v>25</v>
      </c>
      <c r="G4">
        <v>4</v>
      </c>
      <c r="H4" s="3">
        <v>69</v>
      </c>
      <c r="I4" s="4">
        <v>0</v>
      </c>
      <c r="J4" s="3">
        <f>G4*H4*(1-I4)</f>
        <v>0</v>
      </c>
      <c r="K4" s="3">
        <f>G4*H4*0.65</f>
        <v>0</v>
      </c>
      <c r="L4" s="3">
        <f>J4-K4</f>
        <v>0</v>
      </c>
    </row>
    <row r="5" spans="1:12">
      <c r="A5" t="s">
        <v>26</v>
      </c>
      <c r="B5" s="2">
        <v>45028</v>
      </c>
      <c r="C5" t="s">
        <v>13</v>
      </c>
      <c r="D5" t="s">
        <v>14</v>
      </c>
      <c r="E5" t="s">
        <v>27</v>
      </c>
      <c r="F5" t="s">
        <v>28</v>
      </c>
      <c r="G5">
        <v>1</v>
      </c>
      <c r="H5" s="3">
        <v>43</v>
      </c>
      <c r="I5" s="4">
        <v>0</v>
      </c>
      <c r="J5" s="3">
        <f>G5*H5*(1-I5)</f>
        <v>0</v>
      </c>
      <c r="K5" s="3">
        <f>G5*H5*0.65</f>
        <v>0</v>
      </c>
      <c r="L5" s="3">
        <f>J5-K5</f>
        <v>0</v>
      </c>
    </row>
    <row r="6" spans="1:12">
      <c r="A6" t="s">
        <v>29</v>
      </c>
      <c r="B6" s="2">
        <v>44892</v>
      </c>
      <c r="C6" t="s">
        <v>13</v>
      </c>
      <c r="D6" t="s">
        <v>19</v>
      </c>
      <c r="E6" t="s">
        <v>30</v>
      </c>
      <c r="F6" t="s">
        <v>31</v>
      </c>
      <c r="G6">
        <v>5</v>
      </c>
      <c r="H6" s="3">
        <v>734</v>
      </c>
      <c r="I6" s="4">
        <v>0</v>
      </c>
      <c r="J6" s="3">
        <f>G6*H6*(1-I6)</f>
        <v>0</v>
      </c>
      <c r="K6" s="3">
        <f>G6*H6*0.65</f>
        <v>0</v>
      </c>
      <c r="L6" s="3">
        <f>J6-K6</f>
        <v>0</v>
      </c>
    </row>
    <row r="7" spans="1:12">
      <c r="A7" t="s">
        <v>32</v>
      </c>
      <c r="B7" s="2">
        <v>44649</v>
      </c>
      <c r="C7" t="s">
        <v>13</v>
      </c>
      <c r="D7" t="s">
        <v>14</v>
      </c>
      <c r="E7" t="s">
        <v>15</v>
      </c>
      <c r="F7" t="s">
        <v>33</v>
      </c>
      <c r="G7">
        <v>10</v>
      </c>
      <c r="H7" s="3">
        <v>77</v>
      </c>
      <c r="I7" s="4">
        <v>0.05</v>
      </c>
      <c r="J7" s="3">
        <f>G7*H7*(1-I7)</f>
        <v>0</v>
      </c>
      <c r="K7" s="3">
        <f>G7*H7*0.65</f>
        <v>0</v>
      </c>
      <c r="L7" s="3">
        <f>J7-K7</f>
        <v>0</v>
      </c>
    </row>
    <row r="8" spans="1:12">
      <c r="A8" t="s">
        <v>34</v>
      </c>
      <c r="B8" s="2">
        <v>45433</v>
      </c>
      <c r="C8" t="s">
        <v>35</v>
      </c>
      <c r="D8" t="s">
        <v>23</v>
      </c>
      <c r="E8" t="s">
        <v>36</v>
      </c>
      <c r="F8" t="s">
        <v>37</v>
      </c>
      <c r="G8">
        <v>5</v>
      </c>
      <c r="H8" s="3">
        <v>138</v>
      </c>
      <c r="I8" s="4">
        <v>0</v>
      </c>
      <c r="J8" s="3">
        <f>G8*H8*(1-I8)</f>
        <v>0</v>
      </c>
      <c r="K8" s="3">
        <f>G8*H8*0.65</f>
        <v>0</v>
      </c>
      <c r="L8" s="3">
        <f>J8-K8</f>
        <v>0</v>
      </c>
    </row>
    <row r="9" spans="1:12">
      <c r="A9" t="s">
        <v>38</v>
      </c>
      <c r="B9" s="2">
        <v>44692</v>
      </c>
      <c r="C9" t="s">
        <v>35</v>
      </c>
      <c r="D9" t="s">
        <v>19</v>
      </c>
      <c r="E9" t="s">
        <v>30</v>
      </c>
      <c r="F9" t="s">
        <v>39</v>
      </c>
      <c r="G9">
        <v>4</v>
      </c>
      <c r="H9" s="3">
        <v>113</v>
      </c>
      <c r="I9" s="4">
        <v>0.15</v>
      </c>
      <c r="J9" s="3">
        <f>G9*H9*(1-I9)</f>
        <v>0</v>
      </c>
      <c r="K9" s="3">
        <f>G9*H9*0.65</f>
        <v>0</v>
      </c>
      <c r="L9" s="3">
        <f>J9-K9</f>
        <v>0</v>
      </c>
    </row>
    <row r="10" spans="1:12">
      <c r="A10" t="s">
        <v>40</v>
      </c>
      <c r="B10" s="2">
        <v>45331</v>
      </c>
      <c r="C10" t="s">
        <v>18</v>
      </c>
      <c r="D10" t="s">
        <v>23</v>
      </c>
      <c r="E10" t="s">
        <v>36</v>
      </c>
      <c r="F10" t="s">
        <v>41</v>
      </c>
      <c r="G10">
        <v>6</v>
      </c>
      <c r="H10" s="3">
        <v>85</v>
      </c>
      <c r="I10" s="4">
        <v>0.1</v>
      </c>
      <c r="J10" s="3">
        <f>G10*H10*(1-I10)</f>
        <v>0</v>
      </c>
      <c r="K10" s="3">
        <f>G10*H10*0.65</f>
        <v>0</v>
      </c>
      <c r="L10" s="3">
        <f>J10-K10</f>
        <v>0</v>
      </c>
    </row>
    <row r="11" spans="1:12">
      <c r="A11" t="s">
        <v>42</v>
      </c>
      <c r="B11" s="2">
        <v>44905</v>
      </c>
      <c r="C11" t="s">
        <v>43</v>
      </c>
      <c r="D11" t="s">
        <v>23</v>
      </c>
      <c r="E11" t="s">
        <v>36</v>
      </c>
      <c r="F11" t="s">
        <v>37</v>
      </c>
      <c r="G11">
        <v>10</v>
      </c>
      <c r="H11" s="3">
        <v>78</v>
      </c>
      <c r="I11" s="4">
        <v>0.05</v>
      </c>
      <c r="J11" s="3">
        <f>G11*H11*(1-I11)</f>
        <v>0</v>
      </c>
      <c r="K11" s="3">
        <f>G11*H11*0.65</f>
        <v>0</v>
      </c>
      <c r="L11" s="3">
        <f>J11-K11</f>
        <v>0</v>
      </c>
    </row>
    <row r="12" spans="1:12">
      <c r="A12" t="s">
        <v>44</v>
      </c>
      <c r="B12" s="2">
        <v>45367</v>
      </c>
      <c r="C12" t="s">
        <v>13</v>
      </c>
      <c r="D12" t="s">
        <v>19</v>
      </c>
      <c r="E12" t="s">
        <v>45</v>
      </c>
      <c r="F12" t="s">
        <v>46</v>
      </c>
      <c r="G12">
        <v>4</v>
      </c>
      <c r="H12" s="3">
        <v>42</v>
      </c>
      <c r="I12" s="4">
        <v>0</v>
      </c>
      <c r="J12" s="3">
        <f>G12*H12*(1-I12)</f>
        <v>0</v>
      </c>
      <c r="K12" s="3">
        <f>G12*H12*0.65</f>
        <v>0</v>
      </c>
      <c r="L12" s="3">
        <f>J12-K12</f>
        <v>0</v>
      </c>
    </row>
    <row r="13" spans="1:12">
      <c r="A13" t="s">
        <v>47</v>
      </c>
      <c r="B13" s="2">
        <v>44947</v>
      </c>
      <c r="C13" t="s">
        <v>43</v>
      </c>
      <c r="D13" t="s">
        <v>19</v>
      </c>
      <c r="E13" t="s">
        <v>30</v>
      </c>
      <c r="F13" t="s">
        <v>39</v>
      </c>
      <c r="G13">
        <v>14</v>
      </c>
      <c r="H13" s="3">
        <v>90</v>
      </c>
      <c r="I13" s="4">
        <v>0.1</v>
      </c>
      <c r="J13" s="3">
        <f>G13*H13*(1-I13)</f>
        <v>0</v>
      </c>
      <c r="K13" s="3">
        <f>G13*H13*0.65</f>
        <v>0</v>
      </c>
      <c r="L13" s="3">
        <f>J13-K13</f>
        <v>0</v>
      </c>
    </row>
    <row r="14" spans="1:12">
      <c r="A14" t="s">
        <v>48</v>
      </c>
      <c r="B14" s="2">
        <v>45517</v>
      </c>
      <c r="C14" t="s">
        <v>43</v>
      </c>
      <c r="D14" t="s">
        <v>19</v>
      </c>
      <c r="E14" t="s">
        <v>20</v>
      </c>
      <c r="F14" t="s">
        <v>49</v>
      </c>
      <c r="G14">
        <v>7</v>
      </c>
      <c r="H14" s="3">
        <v>848</v>
      </c>
      <c r="I14" s="4">
        <v>0.1</v>
      </c>
      <c r="J14" s="3">
        <f>G14*H14*(1-I14)</f>
        <v>0</v>
      </c>
      <c r="K14" s="3">
        <f>G14*H14*0.65</f>
        <v>0</v>
      </c>
      <c r="L14" s="3">
        <f>J14-K14</f>
        <v>0</v>
      </c>
    </row>
    <row r="15" spans="1:12">
      <c r="A15" t="s">
        <v>50</v>
      </c>
      <c r="B15" s="2">
        <v>44838</v>
      </c>
      <c r="C15" t="s">
        <v>18</v>
      </c>
      <c r="D15" t="s">
        <v>19</v>
      </c>
      <c r="E15" t="s">
        <v>20</v>
      </c>
      <c r="F15" t="s">
        <v>51</v>
      </c>
      <c r="G15">
        <v>7</v>
      </c>
      <c r="H15" s="3">
        <v>75</v>
      </c>
      <c r="I15" s="4">
        <v>0.1</v>
      </c>
      <c r="J15" s="3">
        <f>G15*H15*(1-I15)</f>
        <v>0</v>
      </c>
      <c r="K15" s="3">
        <f>G15*H15*0.65</f>
        <v>0</v>
      </c>
      <c r="L15" s="3">
        <f>J15-K15</f>
        <v>0</v>
      </c>
    </row>
    <row r="16" spans="1:12">
      <c r="A16" t="s">
        <v>52</v>
      </c>
      <c r="B16" s="2">
        <v>45021</v>
      </c>
      <c r="C16" t="s">
        <v>13</v>
      </c>
      <c r="D16" t="s">
        <v>19</v>
      </c>
      <c r="E16" t="s">
        <v>20</v>
      </c>
      <c r="F16" t="s">
        <v>21</v>
      </c>
      <c r="G16">
        <v>2</v>
      </c>
      <c r="H16" s="3">
        <v>142</v>
      </c>
      <c r="I16" s="4">
        <v>0</v>
      </c>
      <c r="J16" s="3">
        <f>G16*H16*(1-I16)</f>
        <v>0</v>
      </c>
      <c r="K16" s="3">
        <f>G16*H16*0.65</f>
        <v>0</v>
      </c>
      <c r="L16" s="3">
        <f>J16-K16</f>
        <v>0</v>
      </c>
    </row>
    <row r="17" spans="1:12">
      <c r="A17" t="s">
        <v>53</v>
      </c>
      <c r="B17" s="2">
        <v>44583</v>
      </c>
      <c r="C17" t="s">
        <v>13</v>
      </c>
      <c r="D17" t="s">
        <v>19</v>
      </c>
      <c r="E17" t="s">
        <v>20</v>
      </c>
      <c r="F17" t="s">
        <v>51</v>
      </c>
      <c r="G17">
        <v>3</v>
      </c>
      <c r="H17" s="3">
        <v>91</v>
      </c>
      <c r="I17" s="4">
        <v>0.05</v>
      </c>
      <c r="J17" s="3">
        <f>G17*H17*(1-I17)</f>
        <v>0</v>
      </c>
      <c r="K17" s="3">
        <f>G17*H17*0.65</f>
        <v>0</v>
      </c>
      <c r="L17" s="3">
        <f>J17-K17</f>
        <v>0</v>
      </c>
    </row>
    <row r="18" spans="1:12">
      <c r="A18" t="s">
        <v>54</v>
      </c>
      <c r="B18" s="2">
        <v>44814</v>
      </c>
      <c r="C18" t="s">
        <v>55</v>
      </c>
      <c r="D18" t="s">
        <v>19</v>
      </c>
      <c r="E18" t="s">
        <v>20</v>
      </c>
      <c r="F18" t="s">
        <v>21</v>
      </c>
      <c r="G18">
        <v>1</v>
      </c>
      <c r="H18" s="3">
        <v>37</v>
      </c>
      <c r="I18" s="4">
        <v>0</v>
      </c>
      <c r="J18" s="3">
        <f>G18*H18*(1-I18)</f>
        <v>0</v>
      </c>
      <c r="K18" s="3">
        <f>G18*H18*0.65</f>
        <v>0</v>
      </c>
      <c r="L18" s="3">
        <f>J18-K18</f>
        <v>0</v>
      </c>
    </row>
    <row r="19" spans="1:12">
      <c r="A19" t="s">
        <v>56</v>
      </c>
      <c r="B19" s="2">
        <v>45309</v>
      </c>
      <c r="C19" t="s">
        <v>43</v>
      </c>
      <c r="D19" t="s">
        <v>14</v>
      </c>
      <c r="E19" t="s">
        <v>57</v>
      </c>
      <c r="F19" t="s">
        <v>58</v>
      </c>
      <c r="G19">
        <v>8</v>
      </c>
      <c r="H19" s="3">
        <v>72</v>
      </c>
      <c r="I19" s="4">
        <v>0</v>
      </c>
      <c r="J19" s="3">
        <f>G19*H19*(1-I19)</f>
        <v>0</v>
      </c>
      <c r="K19" s="3">
        <f>G19*H19*0.65</f>
        <v>0</v>
      </c>
      <c r="L19" s="3">
        <f>J19-K19</f>
        <v>0</v>
      </c>
    </row>
    <row r="20" spans="1:12">
      <c r="A20" t="s">
        <v>59</v>
      </c>
      <c r="B20" s="2">
        <v>45418</v>
      </c>
      <c r="C20" t="s">
        <v>43</v>
      </c>
      <c r="D20" t="s">
        <v>23</v>
      </c>
      <c r="E20" t="s">
        <v>24</v>
      </c>
      <c r="F20" t="s">
        <v>60</v>
      </c>
      <c r="G20">
        <v>9</v>
      </c>
      <c r="H20" s="3">
        <v>49</v>
      </c>
      <c r="I20" s="4">
        <v>0.1</v>
      </c>
      <c r="J20" s="3">
        <f>G20*H20*(1-I20)</f>
        <v>0</v>
      </c>
      <c r="K20" s="3">
        <f>G20*H20*0.65</f>
        <v>0</v>
      </c>
      <c r="L20" s="3">
        <f>J20-K20</f>
        <v>0</v>
      </c>
    </row>
    <row r="21" spans="1:12">
      <c r="A21" t="s">
        <v>61</v>
      </c>
      <c r="B21" s="2">
        <v>45036</v>
      </c>
      <c r="C21" t="s">
        <v>35</v>
      </c>
      <c r="D21" t="s">
        <v>19</v>
      </c>
      <c r="E21" t="s">
        <v>20</v>
      </c>
      <c r="F21" t="s">
        <v>49</v>
      </c>
      <c r="G21">
        <v>4</v>
      </c>
      <c r="H21" s="3">
        <v>1179</v>
      </c>
      <c r="I21" s="4">
        <v>0.1</v>
      </c>
      <c r="J21" s="3">
        <f>G21*H21*(1-I21)</f>
        <v>0</v>
      </c>
      <c r="K21" s="3">
        <f>G21*H21*0.65</f>
        <v>0</v>
      </c>
      <c r="L21" s="3">
        <f>J21-K21</f>
        <v>0</v>
      </c>
    </row>
    <row r="22" spans="1:12">
      <c r="A22" t="s">
        <v>62</v>
      </c>
      <c r="B22" s="2">
        <v>45644</v>
      </c>
      <c r="C22" t="s">
        <v>55</v>
      </c>
      <c r="D22" t="s">
        <v>14</v>
      </c>
      <c r="E22" t="s">
        <v>27</v>
      </c>
      <c r="F22" t="s">
        <v>63</v>
      </c>
      <c r="G22">
        <v>6</v>
      </c>
      <c r="H22" s="3">
        <v>126</v>
      </c>
      <c r="I22" s="4">
        <v>0.05</v>
      </c>
      <c r="J22" s="3">
        <f>G22*H22*(1-I22)</f>
        <v>0</v>
      </c>
      <c r="K22" s="3">
        <f>G22*H22*0.65</f>
        <v>0</v>
      </c>
      <c r="L22" s="3">
        <f>J22-K22</f>
        <v>0</v>
      </c>
    </row>
    <row r="23" spans="1:12">
      <c r="A23" t="s">
        <v>64</v>
      </c>
      <c r="B23" s="2">
        <v>45072</v>
      </c>
      <c r="C23" t="s">
        <v>35</v>
      </c>
      <c r="D23" t="s">
        <v>14</v>
      </c>
      <c r="E23" t="s">
        <v>57</v>
      </c>
      <c r="F23" t="s">
        <v>65</v>
      </c>
      <c r="G23">
        <v>9</v>
      </c>
      <c r="H23" s="3">
        <v>119</v>
      </c>
      <c r="I23" s="4">
        <v>0.1</v>
      </c>
      <c r="J23" s="3">
        <f>G23*H23*(1-I23)</f>
        <v>0</v>
      </c>
      <c r="K23" s="3">
        <f>G23*H23*0.65</f>
        <v>0</v>
      </c>
      <c r="L23" s="3">
        <f>J23-K23</f>
        <v>0</v>
      </c>
    </row>
    <row r="24" spans="1:12">
      <c r="A24" t="s">
        <v>66</v>
      </c>
      <c r="B24" s="2">
        <v>45261</v>
      </c>
      <c r="C24" t="s">
        <v>35</v>
      </c>
      <c r="D24" t="s">
        <v>14</v>
      </c>
      <c r="E24" t="s">
        <v>15</v>
      </c>
      <c r="F24" t="s">
        <v>33</v>
      </c>
      <c r="G24">
        <v>6</v>
      </c>
      <c r="H24" s="3">
        <v>68</v>
      </c>
      <c r="I24" s="4">
        <v>0.05</v>
      </c>
      <c r="J24" s="3">
        <f>G24*H24*(1-I24)</f>
        <v>0</v>
      </c>
      <c r="K24" s="3">
        <f>G24*H24*0.65</f>
        <v>0</v>
      </c>
      <c r="L24" s="3">
        <f>J24-K24</f>
        <v>0</v>
      </c>
    </row>
    <row r="25" spans="1:12">
      <c r="A25" t="s">
        <v>67</v>
      </c>
      <c r="B25" s="2">
        <v>45537</v>
      </c>
      <c r="C25" t="s">
        <v>35</v>
      </c>
      <c r="D25" t="s">
        <v>23</v>
      </c>
      <c r="E25" t="s">
        <v>68</v>
      </c>
      <c r="F25" t="s">
        <v>69</v>
      </c>
      <c r="G25">
        <v>14</v>
      </c>
      <c r="H25" s="3">
        <v>114</v>
      </c>
      <c r="I25" s="4">
        <v>0.05</v>
      </c>
      <c r="J25" s="3">
        <f>G25*H25*(1-I25)</f>
        <v>0</v>
      </c>
      <c r="K25" s="3">
        <f>G25*H25*0.65</f>
        <v>0</v>
      </c>
      <c r="L25" s="3">
        <f>J25-K25</f>
        <v>0</v>
      </c>
    </row>
    <row r="26" spans="1:12">
      <c r="A26" t="s">
        <v>70</v>
      </c>
      <c r="B26" s="2">
        <v>44751</v>
      </c>
      <c r="C26" t="s">
        <v>18</v>
      </c>
      <c r="D26" t="s">
        <v>19</v>
      </c>
      <c r="E26" t="s">
        <v>20</v>
      </c>
      <c r="F26" t="s">
        <v>51</v>
      </c>
      <c r="G26">
        <v>12</v>
      </c>
      <c r="H26" s="3">
        <v>146</v>
      </c>
      <c r="I26" s="4">
        <v>0</v>
      </c>
      <c r="J26" s="3">
        <f>G26*H26*(1-I26)</f>
        <v>0</v>
      </c>
      <c r="K26" s="3">
        <f>G26*H26*0.65</f>
        <v>0</v>
      </c>
      <c r="L26" s="3">
        <f>J26-K26</f>
        <v>0</v>
      </c>
    </row>
    <row r="27" spans="1:12">
      <c r="A27" t="s">
        <v>71</v>
      </c>
      <c r="B27" s="2">
        <v>45519</v>
      </c>
      <c r="C27" t="s">
        <v>18</v>
      </c>
      <c r="D27" t="s">
        <v>14</v>
      </c>
      <c r="E27" t="s">
        <v>57</v>
      </c>
      <c r="F27" t="s">
        <v>58</v>
      </c>
      <c r="G27">
        <v>12</v>
      </c>
      <c r="H27" s="3">
        <v>78</v>
      </c>
      <c r="I27" s="4">
        <v>0.15</v>
      </c>
      <c r="J27" s="3">
        <f>G27*H27*(1-I27)</f>
        <v>0</v>
      </c>
      <c r="K27" s="3">
        <f>G27*H27*0.65</f>
        <v>0</v>
      </c>
      <c r="L27" s="3">
        <f>J27-K27</f>
        <v>0</v>
      </c>
    </row>
    <row r="28" spans="1:12">
      <c r="A28" t="s">
        <v>72</v>
      </c>
      <c r="B28" s="2">
        <v>45248</v>
      </c>
      <c r="C28" t="s">
        <v>35</v>
      </c>
      <c r="D28" t="s">
        <v>23</v>
      </c>
      <c r="E28" t="s">
        <v>36</v>
      </c>
      <c r="F28" t="s">
        <v>41</v>
      </c>
      <c r="G28">
        <v>12</v>
      </c>
      <c r="H28" s="3">
        <v>93</v>
      </c>
      <c r="I28" s="4">
        <v>0</v>
      </c>
      <c r="J28" s="3">
        <f>G28*H28*(1-I28)</f>
        <v>0</v>
      </c>
      <c r="K28" s="3">
        <f>G28*H28*0.65</f>
        <v>0</v>
      </c>
      <c r="L28" s="3">
        <f>J28-K28</f>
        <v>0</v>
      </c>
    </row>
    <row r="29" spans="1:12">
      <c r="A29" t="s">
        <v>73</v>
      </c>
      <c r="B29" s="2">
        <v>45519</v>
      </c>
      <c r="C29" t="s">
        <v>55</v>
      </c>
      <c r="D29" t="s">
        <v>23</v>
      </c>
      <c r="E29" t="s">
        <v>36</v>
      </c>
      <c r="F29" t="s">
        <v>74</v>
      </c>
      <c r="G29">
        <v>9</v>
      </c>
      <c r="H29" s="3">
        <v>211</v>
      </c>
      <c r="I29" s="4">
        <v>0.15</v>
      </c>
      <c r="J29" s="3">
        <f>G29*H29*(1-I29)</f>
        <v>0</v>
      </c>
      <c r="K29" s="3">
        <f>G29*H29*0.65</f>
        <v>0</v>
      </c>
      <c r="L29" s="3">
        <f>J29-K29</f>
        <v>0</v>
      </c>
    </row>
    <row r="30" spans="1:12">
      <c r="A30" t="s">
        <v>75</v>
      </c>
      <c r="B30" s="2">
        <v>45124</v>
      </c>
      <c r="C30" t="s">
        <v>43</v>
      </c>
      <c r="D30" t="s">
        <v>23</v>
      </c>
      <c r="E30" t="s">
        <v>36</v>
      </c>
      <c r="F30" t="s">
        <v>76</v>
      </c>
      <c r="G30">
        <v>4</v>
      </c>
      <c r="H30" s="3">
        <v>135</v>
      </c>
      <c r="I30" s="4">
        <v>0.1</v>
      </c>
      <c r="J30" s="3">
        <f>G30*H30*(1-I30)</f>
        <v>0</v>
      </c>
      <c r="K30" s="3">
        <f>G30*H30*0.65</f>
        <v>0</v>
      </c>
      <c r="L30" s="3">
        <f>J30-K30</f>
        <v>0</v>
      </c>
    </row>
    <row r="31" spans="1:12">
      <c r="A31" t="s">
        <v>77</v>
      </c>
      <c r="B31" s="2">
        <v>45393</v>
      </c>
      <c r="C31" t="s">
        <v>55</v>
      </c>
      <c r="D31" t="s">
        <v>14</v>
      </c>
      <c r="E31" t="s">
        <v>15</v>
      </c>
      <c r="F31" t="s">
        <v>16</v>
      </c>
      <c r="G31">
        <v>8</v>
      </c>
      <c r="H31" s="3">
        <v>15</v>
      </c>
      <c r="I31" s="4">
        <v>0</v>
      </c>
      <c r="J31" s="3">
        <f>G31*H31*(1-I31)</f>
        <v>0</v>
      </c>
      <c r="K31" s="3">
        <f>G31*H31*0.65</f>
        <v>0</v>
      </c>
      <c r="L31" s="3">
        <f>J31-K31</f>
        <v>0</v>
      </c>
    </row>
    <row r="32" spans="1:12">
      <c r="A32" t="s">
        <v>78</v>
      </c>
      <c r="B32" s="2">
        <v>45208</v>
      </c>
      <c r="C32" t="s">
        <v>13</v>
      </c>
      <c r="D32" t="s">
        <v>19</v>
      </c>
      <c r="E32" t="s">
        <v>20</v>
      </c>
      <c r="F32" t="s">
        <v>49</v>
      </c>
      <c r="G32">
        <v>9</v>
      </c>
      <c r="H32" s="3">
        <v>1109</v>
      </c>
      <c r="I32" s="4">
        <v>0.05</v>
      </c>
      <c r="J32" s="3">
        <f>G32*H32*(1-I32)</f>
        <v>0</v>
      </c>
      <c r="K32" s="3">
        <f>G32*H32*0.65</f>
        <v>0</v>
      </c>
      <c r="L32" s="3">
        <f>J32-K32</f>
        <v>0</v>
      </c>
    </row>
    <row r="33" spans="1:12">
      <c r="A33" t="s">
        <v>79</v>
      </c>
      <c r="B33" s="2">
        <v>44582</v>
      </c>
      <c r="C33" t="s">
        <v>18</v>
      </c>
      <c r="D33" t="s">
        <v>14</v>
      </c>
      <c r="E33" t="s">
        <v>15</v>
      </c>
      <c r="F33" t="s">
        <v>80</v>
      </c>
      <c r="G33">
        <v>4</v>
      </c>
      <c r="H33" s="3">
        <v>134</v>
      </c>
      <c r="I33" s="4">
        <v>0.1</v>
      </c>
      <c r="J33" s="3">
        <f>G33*H33*(1-I33)</f>
        <v>0</v>
      </c>
      <c r="K33" s="3">
        <f>G33*H33*0.65</f>
        <v>0</v>
      </c>
      <c r="L33" s="3">
        <f>J33-K33</f>
        <v>0</v>
      </c>
    </row>
    <row r="34" spans="1:12">
      <c r="A34" t="s">
        <v>81</v>
      </c>
      <c r="B34" s="2">
        <v>45402</v>
      </c>
      <c r="C34" t="s">
        <v>43</v>
      </c>
      <c r="D34" t="s">
        <v>14</v>
      </c>
      <c r="E34" t="s">
        <v>57</v>
      </c>
      <c r="F34" t="s">
        <v>65</v>
      </c>
      <c r="G34">
        <v>5</v>
      </c>
      <c r="H34" s="3">
        <v>38</v>
      </c>
      <c r="I34" s="4">
        <v>0.05</v>
      </c>
      <c r="J34" s="3">
        <f>G34*H34*(1-I34)</f>
        <v>0</v>
      </c>
      <c r="K34" s="3">
        <f>G34*H34*0.65</f>
        <v>0</v>
      </c>
      <c r="L34" s="3">
        <f>J34-K34</f>
        <v>0</v>
      </c>
    </row>
    <row r="35" spans="1:12">
      <c r="A35" t="s">
        <v>82</v>
      </c>
      <c r="B35" s="2">
        <v>44728</v>
      </c>
      <c r="C35" t="s">
        <v>43</v>
      </c>
      <c r="D35" t="s">
        <v>19</v>
      </c>
      <c r="E35" t="s">
        <v>30</v>
      </c>
      <c r="F35" t="s">
        <v>83</v>
      </c>
      <c r="G35">
        <v>14</v>
      </c>
      <c r="H35" s="3">
        <v>117</v>
      </c>
      <c r="I35" s="4">
        <v>0.15</v>
      </c>
      <c r="J35" s="3">
        <f>G35*H35*(1-I35)</f>
        <v>0</v>
      </c>
      <c r="K35" s="3">
        <f>G35*H35*0.65</f>
        <v>0</v>
      </c>
      <c r="L35" s="3">
        <f>J35-K35</f>
        <v>0</v>
      </c>
    </row>
    <row r="36" spans="1:12">
      <c r="A36" t="s">
        <v>84</v>
      </c>
      <c r="B36" s="2">
        <v>44949</v>
      </c>
      <c r="C36" t="s">
        <v>13</v>
      </c>
      <c r="D36" t="s">
        <v>19</v>
      </c>
      <c r="E36" t="s">
        <v>20</v>
      </c>
      <c r="F36" t="s">
        <v>51</v>
      </c>
      <c r="G36">
        <v>8</v>
      </c>
      <c r="H36" s="3">
        <v>66</v>
      </c>
      <c r="I36" s="4">
        <v>0.15</v>
      </c>
      <c r="J36" s="3">
        <f>G36*H36*(1-I36)</f>
        <v>0</v>
      </c>
      <c r="K36" s="3">
        <f>G36*H36*0.65</f>
        <v>0</v>
      </c>
      <c r="L36" s="3">
        <f>J36-K36</f>
        <v>0</v>
      </c>
    </row>
    <row r="37" spans="1:12">
      <c r="A37" t="s">
        <v>85</v>
      </c>
      <c r="B37" s="2">
        <v>45162</v>
      </c>
      <c r="C37" t="s">
        <v>13</v>
      </c>
      <c r="D37" t="s">
        <v>19</v>
      </c>
      <c r="E37" t="s">
        <v>45</v>
      </c>
      <c r="F37" t="s">
        <v>86</v>
      </c>
      <c r="G37">
        <v>12</v>
      </c>
      <c r="H37" s="3">
        <v>78</v>
      </c>
      <c r="I37" s="4">
        <v>0.05</v>
      </c>
      <c r="J37" s="3">
        <f>G37*H37*(1-I37)</f>
        <v>0</v>
      </c>
      <c r="K37" s="3">
        <f>G37*H37*0.65</f>
        <v>0</v>
      </c>
      <c r="L37" s="3">
        <f>J37-K37</f>
        <v>0</v>
      </c>
    </row>
    <row r="38" spans="1:12">
      <c r="A38" t="s">
        <v>87</v>
      </c>
      <c r="B38" s="2">
        <v>44877</v>
      </c>
      <c r="C38" t="s">
        <v>35</v>
      </c>
      <c r="D38" t="s">
        <v>23</v>
      </c>
      <c r="E38" t="s">
        <v>36</v>
      </c>
      <c r="F38" t="s">
        <v>76</v>
      </c>
      <c r="G38">
        <v>10</v>
      </c>
      <c r="H38" s="3">
        <v>70</v>
      </c>
      <c r="I38" s="4">
        <v>0</v>
      </c>
      <c r="J38" s="3">
        <f>G38*H38*(1-I38)</f>
        <v>0</v>
      </c>
      <c r="K38" s="3">
        <f>G38*H38*0.65</f>
        <v>0</v>
      </c>
      <c r="L38" s="3">
        <f>J38-K38</f>
        <v>0</v>
      </c>
    </row>
    <row r="39" spans="1:12">
      <c r="A39" t="s">
        <v>88</v>
      </c>
      <c r="B39" s="2">
        <v>44575</v>
      </c>
      <c r="C39" t="s">
        <v>18</v>
      </c>
      <c r="D39" t="s">
        <v>19</v>
      </c>
      <c r="E39" t="s">
        <v>20</v>
      </c>
      <c r="F39" t="s">
        <v>49</v>
      </c>
      <c r="G39">
        <v>14</v>
      </c>
      <c r="H39" s="3">
        <v>816</v>
      </c>
      <c r="I39" s="4">
        <v>0.15</v>
      </c>
      <c r="J39" s="3">
        <f>G39*H39*(1-I39)</f>
        <v>0</v>
      </c>
      <c r="K39" s="3">
        <f>G39*H39*0.65</f>
        <v>0</v>
      </c>
      <c r="L39" s="3">
        <f>J39-K39</f>
        <v>0</v>
      </c>
    </row>
    <row r="40" spans="1:12">
      <c r="A40" t="s">
        <v>89</v>
      </c>
      <c r="B40" s="2">
        <v>44803</v>
      </c>
      <c r="C40" t="s">
        <v>18</v>
      </c>
      <c r="D40" t="s">
        <v>14</v>
      </c>
      <c r="E40" t="s">
        <v>27</v>
      </c>
      <c r="F40" t="s">
        <v>63</v>
      </c>
      <c r="G40">
        <v>6</v>
      </c>
      <c r="H40" s="3">
        <v>117</v>
      </c>
      <c r="I40" s="4">
        <v>0.05</v>
      </c>
      <c r="J40" s="3">
        <f>G40*H40*(1-I40)</f>
        <v>0</v>
      </c>
      <c r="K40" s="3">
        <f>G40*H40*0.65</f>
        <v>0</v>
      </c>
      <c r="L40" s="3">
        <f>J40-K40</f>
        <v>0</v>
      </c>
    </row>
    <row r="41" spans="1:12">
      <c r="A41" t="s">
        <v>90</v>
      </c>
      <c r="B41" s="2">
        <v>45338</v>
      </c>
      <c r="C41" t="s">
        <v>55</v>
      </c>
      <c r="D41" t="s">
        <v>19</v>
      </c>
      <c r="E41" t="s">
        <v>30</v>
      </c>
      <c r="F41" t="s">
        <v>39</v>
      </c>
      <c r="G41">
        <v>12</v>
      </c>
      <c r="H41" s="3">
        <v>50</v>
      </c>
      <c r="I41" s="4">
        <v>0</v>
      </c>
      <c r="J41" s="3">
        <f>G41*H41*(1-I41)</f>
        <v>0</v>
      </c>
      <c r="K41" s="3">
        <f>G41*H41*0.65</f>
        <v>0</v>
      </c>
      <c r="L41" s="3">
        <f>J41-K41</f>
        <v>0</v>
      </c>
    </row>
    <row r="42" spans="1:12">
      <c r="A42" t="s">
        <v>91</v>
      </c>
      <c r="B42" s="2">
        <v>45126</v>
      </c>
      <c r="C42" t="s">
        <v>35</v>
      </c>
      <c r="D42" t="s">
        <v>14</v>
      </c>
      <c r="E42" t="s">
        <v>57</v>
      </c>
      <c r="F42" t="s">
        <v>58</v>
      </c>
      <c r="G42">
        <v>7</v>
      </c>
      <c r="H42" s="3">
        <v>80</v>
      </c>
      <c r="I42" s="4">
        <v>0</v>
      </c>
      <c r="J42" s="3">
        <f>G42*H42*(1-I42)</f>
        <v>0</v>
      </c>
      <c r="K42" s="3">
        <f>G42*H42*0.65</f>
        <v>0</v>
      </c>
      <c r="L42" s="3">
        <f>J42-K42</f>
        <v>0</v>
      </c>
    </row>
    <row r="43" spans="1:12">
      <c r="A43" t="s">
        <v>92</v>
      </c>
      <c r="B43" s="2">
        <v>45459</v>
      </c>
      <c r="C43" t="s">
        <v>35</v>
      </c>
      <c r="D43" t="s">
        <v>23</v>
      </c>
      <c r="E43" t="s">
        <v>68</v>
      </c>
      <c r="F43" t="s">
        <v>93</v>
      </c>
      <c r="G43">
        <v>3</v>
      </c>
      <c r="H43" s="3">
        <v>208</v>
      </c>
      <c r="I43" s="4">
        <v>0.05</v>
      </c>
      <c r="J43" s="3">
        <f>G43*H43*(1-I43)</f>
        <v>0</v>
      </c>
      <c r="K43" s="3">
        <f>G43*H43*0.65</f>
        <v>0</v>
      </c>
      <c r="L43" s="3">
        <f>J43-K43</f>
        <v>0</v>
      </c>
    </row>
    <row r="44" spans="1:12">
      <c r="A44" t="s">
        <v>94</v>
      </c>
      <c r="B44" s="2">
        <v>44653</v>
      </c>
      <c r="C44" t="s">
        <v>35</v>
      </c>
      <c r="D44" t="s">
        <v>14</v>
      </c>
      <c r="E44" t="s">
        <v>27</v>
      </c>
      <c r="F44" t="s">
        <v>63</v>
      </c>
      <c r="G44">
        <v>7</v>
      </c>
      <c r="H44" s="3">
        <v>68</v>
      </c>
      <c r="I44" s="4">
        <v>0.15</v>
      </c>
      <c r="J44" s="3">
        <f>G44*H44*(1-I44)</f>
        <v>0</v>
      </c>
      <c r="K44" s="3">
        <f>G44*H44*0.65</f>
        <v>0</v>
      </c>
      <c r="L44" s="3">
        <f>J44-K44</f>
        <v>0</v>
      </c>
    </row>
    <row r="45" spans="1:12">
      <c r="A45" t="s">
        <v>95</v>
      </c>
      <c r="B45" s="2">
        <v>45517</v>
      </c>
      <c r="C45" t="s">
        <v>35</v>
      </c>
      <c r="D45" t="s">
        <v>14</v>
      </c>
      <c r="E45" t="s">
        <v>15</v>
      </c>
      <c r="F45" t="s">
        <v>33</v>
      </c>
      <c r="G45">
        <v>12</v>
      </c>
      <c r="H45" s="3">
        <v>84</v>
      </c>
      <c r="I45" s="4">
        <v>0.1</v>
      </c>
      <c r="J45" s="3">
        <f>G45*H45*(1-I45)</f>
        <v>0</v>
      </c>
      <c r="K45" s="3">
        <f>G45*H45*0.65</f>
        <v>0</v>
      </c>
      <c r="L45" s="3">
        <f>J45-K45</f>
        <v>0</v>
      </c>
    </row>
    <row r="46" spans="1:12">
      <c r="A46" t="s">
        <v>96</v>
      </c>
      <c r="B46" s="2">
        <v>45070</v>
      </c>
      <c r="C46" t="s">
        <v>18</v>
      </c>
      <c r="D46" t="s">
        <v>19</v>
      </c>
      <c r="E46" t="s">
        <v>45</v>
      </c>
      <c r="F46" t="s">
        <v>97</v>
      </c>
      <c r="G46">
        <v>14</v>
      </c>
      <c r="H46" s="3">
        <v>70</v>
      </c>
      <c r="I46" s="4">
        <v>0.05</v>
      </c>
      <c r="J46" s="3">
        <f>G46*H46*(1-I46)</f>
        <v>0</v>
      </c>
      <c r="K46" s="3">
        <f>G46*H46*0.65</f>
        <v>0</v>
      </c>
      <c r="L46" s="3">
        <f>J46-K46</f>
        <v>0</v>
      </c>
    </row>
    <row r="47" spans="1:12">
      <c r="A47" t="s">
        <v>98</v>
      </c>
      <c r="B47" s="2">
        <v>45337</v>
      </c>
      <c r="C47" t="s">
        <v>18</v>
      </c>
      <c r="D47" t="s">
        <v>19</v>
      </c>
      <c r="E47" t="s">
        <v>45</v>
      </c>
      <c r="F47" t="s">
        <v>99</v>
      </c>
      <c r="G47">
        <v>8</v>
      </c>
      <c r="H47" s="3">
        <v>68</v>
      </c>
      <c r="I47" s="4">
        <v>0</v>
      </c>
      <c r="J47" s="3">
        <f>G47*H47*(1-I47)</f>
        <v>0</v>
      </c>
      <c r="K47" s="3">
        <f>G47*H47*0.65</f>
        <v>0</v>
      </c>
      <c r="L47" s="3">
        <f>J47-K47</f>
        <v>0</v>
      </c>
    </row>
    <row r="48" spans="1:12">
      <c r="A48" t="s">
        <v>100</v>
      </c>
      <c r="B48" s="2">
        <v>44596</v>
      </c>
      <c r="C48" t="s">
        <v>35</v>
      </c>
      <c r="D48" t="s">
        <v>14</v>
      </c>
      <c r="E48" t="s">
        <v>27</v>
      </c>
      <c r="F48" t="s">
        <v>101</v>
      </c>
      <c r="G48">
        <v>10</v>
      </c>
      <c r="H48" s="3">
        <v>42</v>
      </c>
      <c r="I48" s="4">
        <v>0</v>
      </c>
      <c r="J48" s="3">
        <f>G48*H48*(1-I48)</f>
        <v>0</v>
      </c>
      <c r="K48" s="3">
        <f>G48*H48*0.65</f>
        <v>0</v>
      </c>
      <c r="L48" s="3">
        <f>J48-K48</f>
        <v>0</v>
      </c>
    </row>
    <row r="49" spans="1:12">
      <c r="A49" t="s">
        <v>102</v>
      </c>
      <c r="B49" s="2">
        <v>44767</v>
      </c>
      <c r="C49" t="s">
        <v>55</v>
      </c>
      <c r="D49" t="s">
        <v>19</v>
      </c>
      <c r="E49" t="s">
        <v>20</v>
      </c>
      <c r="F49" t="s">
        <v>51</v>
      </c>
      <c r="G49">
        <v>6</v>
      </c>
      <c r="H49" s="3">
        <v>93</v>
      </c>
      <c r="I49" s="4">
        <v>0.1</v>
      </c>
      <c r="J49" s="3">
        <f>G49*H49*(1-I49)</f>
        <v>0</v>
      </c>
      <c r="K49" s="3">
        <f>G49*H49*0.65</f>
        <v>0</v>
      </c>
      <c r="L49" s="3">
        <f>J49-K49</f>
        <v>0</v>
      </c>
    </row>
    <row r="50" spans="1:12">
      <c r="A50" t="s">
        <v>103</v>
      </c>
      <c r="B50" s="2">
        <v>45587</v>
      </c>
      <c r="C50" t="s">
        <v>43</v>
      </c>
      <c r="D50" t="s">
        <v>23</v>
      </c>
      <c r="E50" t="s">
        <v>36</v>
      </c>
      <c r="F50" t="s">
        <v>37</v>
      </c>
      <c r="G50">
        <v>10</v>
      </c>
      <c r="H50" s="3">
        <v>40</v>
      </c>
      <c r="I50" s="4">
        <v>0</v>
      </c>
      <c r="J50" s="3">
        <f>G50*H50*(1-I50)</f>
        <v>0</v>
      </c>
      <c r="K50" s="3">
        <f>G50*H50*0.65</f>
        <v>0</v>
      </c>
      <c r="L50" s="3">
        <f>J50-K50</f>
        <v>0</v>
      </c>
    </row>
    <row r="51" spans="1:12">
      <c r="A51" t="s">
        <v>104</v>
      </c>
      <c r="B51" s="2">
        <v>45583</v>
      </c>
      <c r="C51" t="s">
        <v>43</v>
      </c>
      <c r="D51" t="s">
        <v>23</v>
      </c>
      <c r="E51" t="s">
        <v>36</v>
      </c>
      <c r="F51" t="s">
        <v>41</v>
      </c>
      <c r="G51">
        <v>9</v>
      </c>
      <c r="H51" s="3">
        <v>139</v>
      </c>
      <c r="I51" s="4">
        <v>0</v>
      </c>
      <c r="J51" s="3">
        <f>G51*H51*(1-I51)</f>
        <v>0</v>
      </c>
      <c r="K51" s="3">
        <f>G51*H51*0.65</f>
        <v>0</v>
      </c>
      <c r="L51" s="3">
        <f>J51-K51</f>
        <v>0</v>
      </c>
    </row>
    <row r="52" spans="1:12">
      <c r="A52" t="s">
        <v>105</v>
      </c>
      <c r="B52" s="2">
        <v>45127</v>
      </c>
      <c r="C52" t="s">
        <v>55</v>
      </c>
      <c r="D52" t="s">
        <v>19</v>
      </c>
      <c r="E52" t="s">
        <v>20</v>
      </c>
      <c r="F52" t="s">
        <v>49</v>
      </c>
      <c r="G52">
        <v>13</v>
      </c>
      <c r="H52" s="3">
        <v>946</v>
      </c>
      <c r="I52" s="4">
        <v>0</v>
      </c>
      <c r="J52" s="3">
        <f>G52*H52*(1-I52)</f>
        <v>0</v>
      </c>
      <c r="K52" s="3">
        <f>G52*H52*0.65</f>
        <v>0</v>
      </c>
      <c r="L52" s="3">
        <f>J52-K52</f>
        <v>0</v>
      </c>
    </row>
    <row r="53" spans="1:12">
      <c r="A53" t="s">
        <v>106</v>
      </c>
      <c r="B53" s="2">
        <v>45264</v>
      </c>
      <c r="C53" t="s">
        <v>35</v>
      </c>
      <c r="D53" t="s">
        <v>23</v>
      </c>
      <c r="E53" t="s">
        <v>68</v>
      </c>
      <c r="F53" t="s">
        <v>93</v>
      </c>
      <c r="G53">
        <v>6</v>
      </c>
      <c r="H53" s="3">
        <v>288</v>
      </c>
      <c r="I53" s="4">
        <v>0.05</v>
      </c>
      <c r="J53" s="3">
        <f>G53*H53*(1-I53)</f>
        <v>0</v>
      </c>
      <c r="K53" s="3">
        <f>G53*H53*0.65</f>
        <v>0</v>
      </c>
      <c r="L53" s="3">
        <f>J53-K53</f>
        <v>0</v>
      </c>
    </row>
    <row r="54" spans="1:12">
      <c r="A54" t="s">
        <v>107</v>
      </c>
      <c r="B54" s="2">
        <v>44963</v>
      </c>
      <c r="C54" t="s">
        <v>18</v>
      </c>
      <c r="D54" t="s">
        <v>19</v>
      </c>
      <c r="E54" t="s">
        <v>45</v>
      </c>
      <c r="F54" t="s">
        <v>46</v>
      </c>
      <c r="G54">
        <v>12</v>
      </c>
      <c r="H54" s="3">
        <v>106</v>
      </c>
      <c r="I54" s="4">
        <v>0.15</v>
      </c>
      <c r="J54" s="3">
        <f>G54*H54*(1-I54)</f>
        <v>0</v>
      </c>
      <c r="K54" s="3">
        <f>G54*H54*0.65</f>
        <v>0</v>
      </c>
      <c r="L54" s="3">
        <f>J54-K54</f>
        <v>0</v>
      </c>
    </row>
    <row r="55" spans="1:12">
      <c r="A55" t="s">
        <v>108</v>
      </c>
      <c r="B55" s="2">
        <v>45291</v>
      </c>
      <c r="C55" t="s">
        <v>43</v>
      </c>
      <c r="D55" t="s">
        <v>14</v>
      </c>
      <c r="E55" t="s">
        <v>15</v>
      </c>
      <c r="F55" t="s">
        <v>16</v>
      </c>
      <c r="G55">
        <v>9</v>
      </c>
      <c r="H55" s="3">
        <v>18</v>
      </c>
      <c r="I55" s="4">
        <v>0</v>
      </c>
      <c r="J55" s="3">
        <f>G55*H55*(1-I55)</f>
        <v>0</v>
      </c>
      <c r="K55" s="3">
        <f>G55*H55*0.65</f>
        <v>0</v>
      </c>
      <c r="L55" s="3">
        <f>J55-K55</f>
        <v>0</v>
      </c>
    </row>
    <row r="56" spans="1:12">
      <c r="A56" t="s">
        <v>109</v>
      </c>
      <c r="B56" s="2">
        <v>44723</v>
      </c>
      <c r="C56" t="s">
        <v>13</v>
      </c>
      <c r="D56" t="s">
        <v>14</v>
      </c>
      <c r="E56" t="s">
        <v>57</v>
      </c>
      <c r="F56" t="s">
        <v>65</v>
      </c>
      <c r="G56">
        <v>13</v>
      </c>
      <c r="H56" s="3">
        <v>74</v>
      </c>
      <c r="I56" s="4">
        <v>0.05</v>
      </c>
      <c r="J56" s="3">
        <f>G56*H56*(1-I56)</f>
        <v>0</v>
      </c>
      <c r="K56" s="3">
        <f>G56*H56*0.65</f>
        <v>0</v>
      </c>
      <c r="L56" s="3">
        <f>J56-K56</f>
        <v>0</v>
      </c>
    </row>
    <row r="57" spans="1:12">
      <c r="A57" t="s">
        <v>110</v>
      </c>
      <c r="B57" s="2">
        <v>44763</v>
      </c>
      <c r="C57" t="s">
        <v>13</v>
      </c>
      <c r="D57" t="s">
        <v>23</v>
      </c>
      <c r="E57" t="s">
        <v>68</v>
      </c>
      <c r="F57" t="s">
        <v>69</v>
      </c>
      <c r="G57">
        <v>4</v>
      </c>
      <c r="H57" s="3">
        <v>30</v>
      </c>
      <c r="I57" s="4">
        <v>0.05</v>
      </c>
      <c r="J57" s="3">
        <f>G57*H57*(1-I57)</f>
        <v>0</v>
      </c>
      <c r="K57" s="3">
        <f>G57*H57*0.65</f>
        <v>0</v>
      </c>
      <c r="L57" s="3">
        <f>J57-K57</f>
        <v>0</v>
      </c>
    </row>
    <row r="58" spans="1:12">
      <c r="A58" t="s">
        <v>111</v>
      </c>
      <c r="B58" s="2">
        <v>45557</v>
      </c>
      <c r="C58" t="s">
        <v>55</v>
      </c>
      <c r="D58" t="s">
        <v>19</v>
      </c>
      <c r="E58" t="s">
        <v>30</v>
      </c>
      <c r="F58" t="s">
        <v>83</v>
      </c>
      <c r="G58">
        <v>8</v>
      </c>
      <c r="H58" s="3">
        <v>69</v>
      </c>
      <c r="I58" s="4">
        <v>0.15</v>
      </c>
      <c r="J58" s="3">
        <f>G58*H58*(1-I58)</f>
        <v>0</v>
      </c>
      <c r="K58" s="3">
        <f>G58*H58*0.65</f>
        <v>0</v>
      </c>
      <c r="L58" s="3">
        <f>J58-K58</f>
        <v>0</v>
      </c>
    </row>
    <row r="59" spans="1:12">
      <c r="A59" t="s">
        <v>112</v>
      </c>
      <c r="B59" s="2">
        <v>44831</v>
      </c>
      <c r="C59" t="s">
        <v>35</v>
      </c>
      <c r="D59" t="s">
        <v>19</v>
      </c>
      <c r="E59" t="s">
        <v>30</v>
      </c>
      <c r="F59" t="s">
        <v>39</v>
      </c>
      <c r="G59">
        <v>11</v>
      </c>
      <c r="H59" s="3">
        <v>137</v>
      </c>
      <c r="I59" s="4">
        <v>0</v>
      </c>
      <c r="J59" s="3">
        <f>G59*H59*(1-I59)</f>
        <v>0</v>
      </c>
      <c r="K59" s="3">
        <f>G59*H59*0.65</f>
        <v>0</v>
      </c>
      <c r="L59" s="3">
        <f>J59-K59</f>
        <v>0</v>
      </c>
    </row>
    <row r="60" spans="1:12">
      <c r="A60" t="s">
        <v>113</v>
      </c>
      <c r="B60" s="2">
        <v>45377</v>
      </c>
      <c r="C60" t="s">
        <v>43</v>
      </c>
      <c r="D60" t="s">
        <v>23</v>
      </c>
      <c r="E60" t="s">
        <v>68</v>
      </c>
      <c r="F60" t="s">
        <v>93</v>
      </c>
      <c r="G60">
        <v>4</v>
      </c>
      <c r="H60" s="3">
        <v>168</v>
      </c>
      <c r="I60" s="4">
        <v>0.05</v>
      </c>
      <c r="J60" s="3">
        <f>G60*H60*(1-I60)</f>
        <v>0</v>
      </c>
      <c r="K60" s="3">
        <f>G60*H60*0.65</f>
        <v>0</v>
      </c>
      <c r="L60" s="3">
        <f>J60-K60</f>
        <v>0</v>
      </c>
    </row>
    <row r="61" spans="1:12">
      <c r="A61" t="s">
        <v>114</v>
      </c>
      <c r="B61" s="2">
        <v>45017</v>
      </c>
      <c r="C61" t="s">
        <v>35</v>
      </c>
      <c r="D61" t="s">
        <v>14</v>
      </c>
      <c r="E61" t="s">
        <v>15</v>
      </c>
      <c r="F61" t="s">
        <v>115</v>
      </c>
      <c r="G61">
        <v>2</v>
      </c>
      <c r="H61" s="3">
        <v>105</v>
      </c>
      <c r="I61" s="4">
        <v>0</v>
      </c>
      <c r="J61" s="3">
        <f>G61*H61*(1-I61)</f>
        <v>0</v>
      </c>
      <c r="K61" s="3">
        <f>G61*H61*0.65</f>
        <v>0</v>
      </c>
      <c r="L61" s="3">
        <f>J61-K61</f>
        <v>0</v>
      </c>
    </row>
    <row r="62" spans="1:12">
      <c r="A62" t="s">
        <v>116</v>
      </c>
      <c r="B62" s="2">
        <v>45578</v>
      </c>
      <c r="C62" t="s">
        <v>43</v>
      </c>
      <c r="D62" t="s">
        <v>23</v>
      </c>
      <c r="E62" t="s">
        <v>24</v>
      </c>
      <c r="F62" t="s">
        <v>117</v>
      </c>
      <c r="G62">
        <v>10</v>
      </c>
      <c r="H62" s="3">
        <v>101</v>
      </c>
      <c r="I62" s="4">
        <v>0.1</v>
      </c>
      <c r="J62" s="3">
        <f>G62*H62*(1-I62)</f>
        <v>0</v>
      </c>
      <c r="K62" s="3">
        <f>G62*H62*0.65</f>
        <v>0</v>
      </c>
      <c r="L62" s="3">
        <f>J62-K62</f>
        <v>0</v>
      </c>
    </row>
    <row r="63" spans="1:12">
      <c r="A63" t="s">
        <v>118</v>
      </c>
      <c r="B63" s="2">
        <v>44857</v>
      </c>
      <c r="C63" t="s">
        <v>55</v>
      </c>
      <c r="D63" t="s">
        <v>14</v>
      </c>
      <c r="E63" t="s">
        <v>57</v>
      </c>
      <c r="F63" t="s">
        <v>65</v>
      </c>
      <c r="G63">
        <v>11</v>
      </c>
      <c r="H63" s="3">
        <v>101</v>
      </c>
      <c r="I63" s="4">
        <v>0.05</v>
      </c>
      <c r="J63" s="3">
        <f>G63*H63*(1-I63)</f>
        <v>0</v>
      </c>
      <c r="K63" s="3">
        <f>G63*H63*0.65</f>
        <v>0</v>
      </c>
      <c r="L63" s="3">
        <f>J63-K63</f>
        <v>0</v>
      </c>
    </row>
    <row r="64" spans="1:12">
      <c r="A64" t="s">
        <v>119</v>
      </c>
      <c r="B64" s="2">
        <v>45281</v>
      </c>
      <c r="C64" t="s">
        <v>55</v>
      </c>
      <c r="D64" t="s">
        <v>19</v>
      </c>
      <c r="E64" t="s">
        <v>45</v>
      </c>
      <c r="F64" t="s">
        <v>86</v>
      </c>
      <c r="G64">
        <v>9</v>
      </c>
      <c r="H64" s="3">
        <v>90</v>
      </c>
      <c r="I64" s="4">
        <v>0</v>
      </c>
      <c r="J64" s="3">
        <f>G64*H64*(1-I64)</f>
        <v>0</v>
      </c>
      <c r="K64" s="3">
        <f>G64*H64*0.65</f>
        <v>0</v>
      </c>
      <c r="L64" s="3">
        <f>J64-K64</f>
        <v>0</v>
      </c>
    </row>
    <row r="65" spans="1:12">
      <c r="A65" t="s">
        <v>120</v>
      </c>
      <c r="B65" s="2">
        <v>44899</v>
      </c>
      <c r="C65" t="s">
        <v>13</v>
      </c>
      <c r="D65" t="s">
        <v>14</v>
      </c>
      <c r="E65" t="s">
        <v>57</v>
      </c>
      <c r="F65" t="s">
        <v>121</v>
      </c>
      <c r="G65">
        <v>5</v>
      </c>
      <c r="H65" s="3">
        <v>146</v>
      </c>
      <c r="I65" s="4">
        <v>0.05</v>
      </c>
      <c r="J65" s="3">
        <f>G65*H65*(1-I65)</f>
        <v>0</v>
      </c>
      <c r="K65" s="3">
        <f>G65*H65*0.65</f>
        <v>0</v>
      </c>
      <c r="L65" s="3">
        <f>J65-K65</f>
        <v>0</v>
      </c>
    </row>
    <row r="66" spans="1:12">
      <c r="A66" t="s">
        <v>122</v>
      </c>
      <c r="B66" s="2">
        <v>45440</v>
      </c>
      <c r="C66" t="s">
        <v>35</v>
      </c>
      <c r="D66" t="s">
        <v>23</v>
      </c>
      <c r="E66" t="s">
        <v>36</v>
      </c>
      <c r="F66" t="s">
        <v>37</v>
      </c>
      <c r="G66">
        <v>4</v>
      </c>
      <c r="H66" s="3">
        <v>138</v>
      </c>
      <c r="I66" s="4">
        <v>0.1</v>
      </c>
      <c r="J66" s="3">
        <f>G66*H66*(1-I66)</f>
        <v>0</v>
      </c>
      <c r="K66" s="3">
        <f>G66*H66*0.65</f>
        <v>0</v>
      </c>
      <c r="L66" s="3">
        <f>J66-K66</f>
        <v>0</v>
      </c>
    </row>
    <row r="67" spans="1:12">
      <c r="A67" t="s">
        <v>123</v>
      </c>
      <c r="B67" s="2">
        <v>45638</v>
      </c>
      <c r="C67" t="s">
        <v>13</v>
      </c>
      <c r="D67" t="s">
        <v>19</v>
      </c>
      <c r="E67" t="s">
        <v>45</v>
      </c>
      <c r="F67" t="s">
        <v>86</v>
      </c>
      <c r="G67">
        <v>2</v>
      </c>
      <c r="H67" s="3">
        <v>41</v>
      </c>
      <c r="I67" s="4">
        <v>0</v>
      </c>
      <c r="J67" s="3">
        <f>G67*H67*(1-I67)</f>
        <v>0</v>
      </c>
      <c r="K67" s="3">
        <f>G67*H67*0.65</f>
        <v>0</v>
      </c>
      <c r="L67" s="3">
        <f>J67-K67</f>
        <v>0</v>
      </c>
    </row>
    <row r="68" spans="1:12">
      <c r="A68" t="s">
        <v>124</v>
      </c>
      <c r="B68" s="2">
        <v>45353</v>
      </c>
      <c r="C68" t="s">
        <v>35</v>
      </c>
      <c r="D68" t="s">
        <v>23</v>
      </c>
      <c r="E68" t="s">
        <v>36</v>
      </c>
      <c r="F68" t="s">
        <v>37</v>
      </c>
      <c r="G68">
        <v>1</v>
      </c>
      <c r="H68" s="3">
        <v>90</v>
      </c>
      <c r="I68" s="4">
        <v>0.1</v>
      </c>
      <c r="J68" s="3">
        <f>G68*H68*(1-I68)</f>
        <v>0</v>
      </c>
      <c r="K68" s="3">
        <f>G68*H68*0.65</f>
        <v>0</v>
      </c>
      <c r="L68" s="3">
        <f>J68-K68</f>
        <v>0</v>
      </c>
    </row>
    <row r="69" spans="1:12">
      <c r="A69" t="s">
        <v>125</v>
      </c>
      <c r="B69" s="2">
        <v>44778</v>
      </c>
      <c r="C69" t="s">
        <v>13</v>
      </c>
      <c r="D69" t="s">
        <v>23</v>
      </c>
      <c r="E69" t="s">
        <v>68</v>
      </c>
      <c r="F69" t="s">
        <v>69</v>
      </c>
      <c r="G69">
        <v>11</v>
      </c>
      <c r="H69" s="3">
        <v>141</v>
      </c>
      <c r="I69" s="4">
        <v>0</v>
      </c>
      <c r="J69" s="3">
        <f>G69*H69*(1-I69)</f>
        <v>0</v>
      </c>
      <c r="K69" s="3">
        <f>G69*H69*0.65</f>
        <v>0</v>
      </c>
      <c r="L69" s="3">
        <f>J69-K69</f>
        <v>0</v>
      </c>
    </row>
    <row r="70" spans="1:12">
      <c r="A70" t="s">
        <v>126</v>
      </c>
      <c r="B70" s="2">
        <v>45325</v>
      </c>
      <c r="C70" t="s">
        <v>18</v>
      </c>
      <c r="D70" t="s">
        <v>14</v>
      </c>
      <c r="E70" t="s">
        <v>27</v>
      </c>
      <c r="F70" t="s">
        <v>101</v>
      </c>
      <c r="G70">
        <v>7</v>
      </c>
      <c r="H70" s="3">
        <v>62</v>
      </c>
      <c r="I70" s="4">
        <v>0.05</v>
      </c>
      <c r="J70" s="3">
        <f>G70*H70*(1-I70)</f>
        <v>0</v>
      </c>
      <c r="K70" s="3">
        <f>G70*H70*0.65</f>
        <v>0</v>
      </c>
      <c r="L70" s="3">
        <f>J70-K70</f>
        <v>0</v>
      </c>
    </row>
    <row r="71" spans="1:12">
      <c r="A71" t="s">
        <v>127</v>
      </c>
      <c r="B71" s="2">
        <v>44749</v>
      </c>
      <c r="C71" t="s">
        <v>18</v>
      </c>
      <c r="D71" t="s">
        <v>23</v>
      </c>
      <c r="E71" t="s">
        <v>68</v>
      </c>
      <c r="F71" t="s">
        <v>93</v>
      </c>
      <c r="G71">
        <v>6</v>
      </c>
      <c r="H71" s="3">
        <v>194</v>
      </c>
      <c r="I71" s="4">
        <v>0.05</v>
      </c>
      <c r="J71" s="3">
        <f>G71*H71*(1-I71)</f>
        <v>0</v>
      </c>
      <c r="K71" s="3">
        <f>G71*H71*0.65</f>
        <v>0</v>
      </c>
      <c r="L71" s="3">
        <f>J71-K71</f>
        <v>0</v>
      </c>
    </row>
    <row r="72" spans="1:12">
      <c r="A72" t="s">
        <v>128</v>
      </c>
      <c r="B72" s="2">
        <v>44941</v>
      </c>
      <c r="C72" t="s">
        <v>18</v>
      </c>
      <c r="D72" t="s">
        <v>14</v>
      </c>
      <c r="E72" t="s">
        <v>27</v>
      </c>
      <c r="F72" t="s">
        <v>63</v>
      </c>
      <c r="G72">
        <v>2</v>
      </c>
      <c r="H72" s="3">
        <v>119</v>
      </c>
      <c r="I72" s="4">
        <v>0.1</v>
      </c>
      <c r="J72" s="3">
        <f>G72*H72*(1-I72)</f>
        <v>0</v>
      </c>
      <c r="K72" s="3">
        <f>G72*H72*0.65</f>
        <v>0</v>
      </c>
      <c r="L72" s="3">
        <f>J72-K72</f>
        <v>0</v>
      </c>
    </row>
    <row r="73" spans="1:12">
      <c r="A73" t="s">
        <v>129</v>
      </c>
      <c r="B73" s="2">
        <v>45054</v>
      </c>
      <c r="C73" t="s">
        <v>18</v>
      </c>
      <c r="D73" t="s">
        <v>19</v>
      </c>
      <c r="E73" t="s">
        <v>30</v>
      </c>
      <c r="F73" t="s">
        <v>130</v>
      </c>
      <c r="G73">
        <v>8</v>
      </c>
      <c r="H73" s="3">
        <v>902</v>
      </c>
      <c r="I73" s="4">
        <v>0</v>
      </c>
      <c r="J73" s="3">
        <f>G73*H73*(1-I73)</f>
        <v>0</v>
      </c>
      <c r="K73" s="3">
        <f>G73*H73*0.65</f>
        <v>0</v>
      </c>
      <c r="L73" s="3">
        <f>J73-K73</f>
        <v>0</v>
      </c>
    </row>
    <row r="74" spans="1:12">
      <c r="A74" t="s">
        <v>131</v>
      </c>
      <c r="B74" s="2">
        <v>45626</v>
      </c>
      <c r="C74" t="s">
        <v>43</v>
      </c>
      <c r="D74" t="s">
        <v>14</v>
      </c>
      <c r="E74" t="s">
        <v>27</v>
      </c>
      <c r="F74" t="s">
        <v>101</v>
      </c>
      <c r="G74">
        <v>11</v>
      </c>
      <c r="H74" s="3">
        <v>121</v>
      </c>
      <c r="I74" s="4">
        <v>0.1</v>
      </c>
      <c r="J74" s="3">
        <f>G74*H74*(1-I74)</f>
        <v>0</v>
      </c>
      <c r="K74" s="3">
        <f>G74*H74*0.65</f>
        <v>0</v>
      </c>
      <c r="L74" s="3">
        <f>J74-K74</f>
        <v>0</v>
      </c>
    </row>
    <row r="75" spans="1:12">
      <c r="A75" t="s">
        <v>132</v>
      </c>
      <c r="B75" s="2">
        <v>44576</v>
      </c>
      <c r="C75" t="s">
        <v>18</v>
      </c>
      <c r="D75" t="s">
        <v>19</v>
      </c>
      <c r="E75" t="s">
        <v>20</v>
      </c>
      <c r="F75" t="s">
        <v>51</v>
      </c>
      <c r="G75">
        <v>4</v>
      </c>
      <c r="H75" s="3">
        <v>98</v>
      </c>
      <c r="I75" s="4">
        <v>0.1</v>
      </c>
      <c r="J75" s="3">
        <f>G75*H75*(1-I75)</f>
        <v>0</v>
      </c>
      <c r="K75" s="3">
        <f>G75*H75*0.65</f>
        <v>0</v>
      </c>
      <c r="L75" s="3">
        <f>J75-K75</f>
        <v>0</v>
      </c>
    </row>
    <row r="76" spans="1:12">
      <c r="A76" t="s">
        <v>133</v>
      </c>
      <c r="B76" s="2">
        <v>44626</v>
      </c>
      <c r="C76" t="s">
        <v>55</v>
      </c>
      <c r="D76" t="s">
        <v>14</v>
      </c>
      <c r="E76" t="s">
        <v>15</v>
      </c>
      <c r="F76" t="s">
        <v>80</v>
      </c>
      <c r="G76">
        <v>8</v>
      </c>
      <c r="H76" s="3">
        <v>37</v>
      </c>
      <c r="I76" s="4">
        <v>0.05</v>
      </c>
      <c r="J76" s="3">
        <f>G76*H76*(1-I76)</f>
        <v>0</v>
      </c>
      <c r="K76" s="3">
        <f>G76*H76*0.65</f>
        <v>0</v>
      </c>
      <c r="L76" s="3">
        <f>J76-K76</f>
        <v>0</v>
      </c>
    </row>
    <row r="77" spans="1:12">
      <c r="A77" t="s">
        <v>134</v>
      </c>
      <c r="B77" s="2">
        <v>45082</v>
      </c>
      <c r="C77" t="s">
        <v>55</v>
      </c>
      <c r="D77" t="s">
        <v>23</v>
      </c>
      <c r="E77" t="s">
        <v>24</v>
      </c>
      <c r="F77" t="s">
        <v>117</v>
      </c>
      <c r="G77">
        <v>7</v>
      </c>
      <c r="H77" s="3">
        <v>54</v>
      </c>
      <c r="I77" s="4">
        <v>0.1</v>
      </c>
      <c r="J77" s="3">
        <f>G77*H77*(1-I77)</f>
        <v>0</v>
      </c>
      <c r="K77" s="3">
        <f>G77*H77*0.65</f>
        <v>0</v>
      </c>
      <c r="L77" s="3">
        <f>J77-K77</f>
        <v>0</v>
      </c>
    </row>
    <row r="78" spans="1:12">
      <c r="A78" t="s">
        <v>135</v>
      </c>
      <c r="B78" s="2">
        <v>45209</v>
      </c>
      <c r="C78" t="s">
        <v>43</v>
      </c>
      <c r="D78" t="s">
        <v>14</v>
      </c>
      <c r="E78" t="s">
        <v>57</v>
      </c>
      <c r="F78" t="s">
        <v>121</v>
      </c>
      <c r="G78">
        <v>5</v>
      </c>
      <c r="H78" s="3">
        <v>120</v>
      </c>
      <c r="I78" s="4">
        <v>0.1</v>
      </c>
      <c r="J78" s="3">
        <f>G78*H78*(1-I78)</f>
        <v>0</v>
      </c>
      <c r="K78" s="3">
        <f>G78*H78*0.65</f>
        <v>0</v>
      </c>
      <c r="L78" s="3">
        <f>J78-K78</f>
        <v>0</v>
      </c>
    </row>
    <row r="79" spans="1:12">
      <c r="A79" t="s">
        <v>136</v>
      </c>
      <c r="B79" s="2">
        <v>45648</v>
      </c>
      <c r="C79" t="s">
        <v>18</v>
      </c>
      <c r="D79" t="s">
        <v>14</v>
      </c>
      <c r="E79" t="s">
        <v>15</v>
      </c>
      <c r="F79" t="s">
        <v>80</v>
      </c>
      <c r="G79">
        <v>10</v>
      </c>
      <c r="H79" s="3">
        <v>75</v>
      </c>
      <c r="I79" s="4">
        <v>0</v>
      </c>
      <c r="J79" s="3">
        <f>G79*H79*(1-I79)</f>
        <v>0</v>
      </c>
      <c r="K79" s="3">
        <f>G79*H79*0.65</f>
        <v>0</v>
      </c>
      <c r="L79" s="3">
        <f>J79-K79</f>
        <v>0</v>
      </c>
    </row>
    <row r="80" spans="1:12">
      <c r="A80" t="s">
        <v>137</v>
      </c>
      <c r="B80" s="2">
        <v>45154</v>
      </c>
      <c r="C80" t="s">
        <v>18</v>
      </c>
      <c r="D80" t="s">
        <v>19</v>
      </c>
      <c r="E80" t="s">
        <v>30</v>
      </c>
      <c r="F80" t="s">
        <v>130</v>
      </c>
      <c r="G80">
        <v>10</v>
      </c>
      <c r="H80" s="3">
        <v>1142</v>
      </c>
      <c r="I80" s="4">
        <v>0</v>
      </c>
      <c r="J80" s="3">
        <f>G80*H80*(1-I80)</f>
        <v>0</v>
      </c>
      <c r="K80" s="3">
        <f>G80*H80*0.65</f>
        <v>0</v>
      </c>
      <c r="L80" s="3">
        <f>J80-K80</f>
        <v>0</v>
      </c>
    </row>
    <row r="81" spans="1:12">
      <c r="A81" t="s">
        <v>138</v>
      </c>
      <c r="B81" s="2">
        <v>44953</v>
      </c>
      <c r="C81" t="s">
        <v>18</v>
      </c>
      <c r="D81" t="s">
        <v>23</v>
      </c>
      <c r="E81" t="s">
        <v>24</v>
      </c>
      <c r="F81" t="s">
        <v>117</v>
      </c>
      <c r="G81">
        <v>12</v>
      </c>
      <c r="H81" s="3">
        <v>59</v>
      </c>
      <c r="I81" s="4">
        <v>0.15</v>
      </c>
      <c r="J81" s="3">
        <f>G81*H81*(1-I81)</f>
        <v>0</v>
      </c>
      <c r="K81" s="3">
        <f>G81*H81*0.65</f>
        <v>0</v>
      </c>
      <c r="L81" s="3">
        <f>J81-K81</f>
        <v>0</v>
      </c>
    </row>
    <row r="82" spans="1:12">
      <c r="A82" t="s">
        <v>139</v>
      </c>
      <c r="B82" s="2">
        <v>44980</v>
      </c>
      <c r="C82" t="s">
        <v>13</v>
      </c>
      <c r="D82" t="s">
        <v>14</v>
      </c>
      <c r="E82" t="s">
        <v>27</v>
      </c>
      <c r="F82" t="s">
        <v>140</v>
      </c>
      <c r="G82">
        <v>8</v>
      </c>
      <c r="H82" s="3">
        <v>138</v>
      </c>
      <c r="I82" s="4">
        <v>0</v>
      </c>
      <c r="J82" s="3">
        <f>G82*H82*(1-I82)</f>
        <v>0</v>
      </c>
      <c r="K82" s="3">
        <f>G82*H82*0.65</f>
        <v>0</v>
      </c>
      <c r="L82" s="3">
        <f>J82-K82</f>
        <v>0</v>
      </c>
    </row>
    <row r="83" spans="1:12">
      <c r="A83" t="s">
        <v>141</v>
      </c>
      <c r="B83" s="2">
        <v>44850</v>
      </c>
      <c r="C83" t="s">
        <v>35</v>
      </c>
      <c r="D83" t="s">
        <v>23</v>
      </c>
      <c r="E83" t="s">
        <v>36</v>
      </c>
      <c r="F83" t="s">
        <v>76</v>
      </c>
      <c r="G83">
        <v>14</v>
      </c>
      <c r="H83" s="3">
        <v>76</v>
      </c>
      <c r="I83" s="4">
        <v>0.1</v>
      </c>
      <c r="J83" s="3">
        <f>G83*H83*(1-I83)</f>
        <v>0</v>
      </c>
      <c r="K83" s="3">
        <f>G83*H83*0.65</f>
        <v>0</v>
      </c>
      <c r="L83" s="3">
        <f>J83-K83</f>
        <v>0</v>
      </c>
    </row>
    <row r="84" spans="1:12">
      <c r="A84" t="s">
        <v>142</v>
      </c>
      <c r="B84" s="2">
        <v>44940</v>
      </c>
      <c r="C84" t="s">
        <v>13</v>
      </c>
      <c r="D84" t="s">
        <v>14</v>
      </c>
      <c r="E84" t="s">
        <v>57</v>
      </c>
      <c r="F84" t="s">
        <v>65</v>
      </c>
      <c r="G84">
        <v>9</v>
      </c>
      <c r="H84" s="3">
        <v>116</v>
      </c>
      <c r="I84" s="4">
        <v>0.15</v>
      </c>
      <c r="J84" s="3">
        <f>G84*H84*(1-I84)</f>
        <v>0</v>
      </c>
      <c r="K84" s="3">
        <f>G84*H84*0.65</f>
        <v>0</v>
      </c>
      <c r="L84" s="3">
        <f>J84-K84</f>
        <v>0</v>
      </c>
    </row>
    <row r="85" spans="1:12">
      <c r="A85" t="s">
        <v>143</v>
      </c>
      <c r="B85" s="2">
        <v>44792</v>
      </c>
      <c r="C85" t="s">
        <v>35</v>
      </c>
      <c r="D85" t="s">
        <v>14</v>
      </c>
      <c r="E85" t="s">
        <v>27</v>
      </c>
      <c r="F85" t="s">
        <v>28</v>
      </c>
      <c r="G85">
        <v>5</v>
      </c>
      <c r="H85" s="3">
        <v>78</v>
      </c>
      <c r="I85" s="4">
        <v>0</v>
      </c>
      <c r="J85" s="3">
        <f>G85*H85*(1-I85)</f>
        <v>0</v>
      </c>
      <c r="K85" s="3">
        <f>G85*H85*0.65</f>
        <v>0</v>
      </c>
      <c r="L85" s="3">
        <f>J85-K85</f>
        <v>0</v>
      </c>
    </row>
    <row r="86" spans="1:12">
      <c r="A86" t="s">
        <v>144</v>
      </c>
      <c r="B86" s="2">
        <v>45579</v>
      </c>
      <c r="C86" t="s">
        <v>18</v>
      </c>
      <c r="D86" t="s">
        <v>23</v>
      </c>
      <c r="E86" t="s">
        <v>36</v>
      </c>
      <c r="F86" t="s">
        <v>37</v>
      </c>
      <c r="G86">
        <v>10</v>
      </c>
      <c r="H86" s="3">
        <v>76</v>
      </c>
      <c r="I86" s="4">
        <v>0.05</v>
      </c>
      <c r="J86" s="3">
        <f>G86*H86*(1-I86)</f>
        <v>0</v>
      </c>
      <c r="K86" s="3">
        <f>G86*H86*0.65</f>
        <v>0</v>
      </c>
      <c r="L86" s="3">
        <f>J86-K86</f>
        <v>0</v>
      </c>
    </row>
    <row r="87" spans="1:12">
      <c r="A87" t="s">
        <v>145</v>
      </c>
      <c r="B87" s="2">
        <v>44602</v>
      </c>
      <c r="C87" t="s">
        <v>18</v>
      </c>
      <c r="D87" t="s">
        <v>14</v>
      </c>
      <c r="E87" t="s">
        <v>57</v>
      </c>
      <c r="F87" t="s">
        <v>121</v>
      </c>
      <c r="G87">
        <v>5</v>
      </c>
      <c r="H87" s="3">
        <v>113</v>
      </c>
      <c r="I87" s="4">
        <v>0.05</v>
      </c>
      <c r="J87" s="3">
        <f>G87*H87*(1-I87)</f>
        <v>0</v>
      </c>
      <c r="K87" s="3">
        <f>G87*H87*0.65</f>
        <v>0</v>
      </c>
      <c r="L87" s="3">
        <f>J87-K87</f>
        <v>0</v>
      </c>
    </row>
    <row r="88" spans="1:12">
      <c r="A88" t="s">
        <v>146</v>
      </c>
      <c r="B88" s="2">
        <v>45613</v>
      </c>
      <c r="C88" t="s">
        <v>13</v>
      </c>
      <c r="D88" t="s">
        <v>23</v>
      </c>
      <c r="E88" t="s">
        <v>24</v>
      </c>
      <c r="F88" t="s">
        <v>147</v>
      </c>
      <c r="G88">
        <v>2</v>
      </c>
      <c r="H88" s="3">
        <v>111</v>
      </c>
      <c r="I88" s="4">
        <v>0.05</v>
      </c>
      <c r="J88" s="3">
        <f>G88*H88*(1-I88)</f>
        <v>0</v>
      </c>
      <c r="K88" s="3">
        <f>G88*H88*0.65</f>
        <v>0</v>
      </c>
      <c r="L88" s="3">
        <f>J88-K88</f>
        <v>0</v>
      </c>
    </row>
    <row r="89" spans="1:12">
      <c r="A89" t="s">
        <v>148</v>
      </c>
      <c r="B89" s="2">
        <v>44696</v>
      </c>
      <c r="C89" t="s">
        <v>13</v>
      </c>
      <c r="D89" t="s">
        <v>14</v>
      </c>
      <c r="E89" t="s">
        <v>57</v>
      </c>
      <c r="F89" t="s">
        <v>149</v>
      </c>
      <c r="G89">
        <v>5</v>
      </c>
      <c r="H89" s="3">
        <v>22</v>
      </c>
      <c r="I89" s="4">
        <v>0</v>
      </c>
      <c r="J89" s="3">
        <f>G89*H89*(1-I89)</f>
        <v>0</v>
      </c>
      <c r="K89" s="3">
        <f>G89*H89*0.65</f>
        <v>0</v>
      </c>
      <c r="L89" s="3">
        <f>J89-K89</f>
        <v>0</v>
      </c>
    </row>
    <row r="90" spans="1:12">
      <c r="A90" t="s">
        <v>150</v>
      </c>
      <c r="B90" s="2">
        <v>44762</v>
      </c>
      <c r="C90" t="s">
        <v>35</v>
      </c>
      <c r="D90" t="s">
        <v>19</v>
      </c>
      <c r="E90" t="s">
        <v>30</v>
      </c>
      <c r="F90" t="s">
        <v>83</v>
      </c>
      <c r="G90">
        <v>3</v>
      </c>
      <c r="H90" s="3">
        <v>95</v>
      </c>
      <c r="I90" s="4">
        <v>0</v>
      </c>
      <c r="J90" s="3">
        <f>G90*H90*(1-I90)</f>
        <v>0</v>
      </c>
      <c r="K90" s="3">
        <f>G90*H90*0.65</f>
        <v>0</v>
      </c>
      <c r="L90" s="3">
        <f>J90-K90</f>
        <v>0</v>
      </c>
    </row>
    <row r="91" spans="1:12">
      <c r="A91" t="s">
        <v>151</v>
      </c>
      <c r="B91" s="2">
        <v>45341</v>
      </c>
      <c r="C91" t="s">
        <v>55</v>
      </c>
      <c r="D91" t="s">
        <v>23</v>
      </c>
      <c r="E91" t="s">
        <v>68</v>
      </c>
      <c r="F91" t="s">
        <v>152</v>
      </c>
      <c r="G91">
        <v>7</v>
      </c>
      <c r="H91" s="3">
        <v>217</v>
      </c>
      <c r="I91" s="4">
        <v>0.05</v>
      </c>
      <c r="J91" s="3">
        <f>G91*H91*(1-I91)</f>
        <v>0</v>
      </c>
      <c r="K91" s="3">
        <f>G91*H91*0.65</f>
        <v>0</v>
      </c>
      <c r="L91" s="3">
        <f>J91-K91</f>
        <v>0</v>
      </c>
    </row>
    <row r="92" spans="1:12">
      <c r="A92" t="s">
        <v>153</v>
      </c>
      <c r="B92" s="2">
        <v>45491</v>
      </c>
      <c r="C92" t="s">
        <v>35</v>
      </c>
      <c r="D92" t="s">
        <v>14</v>
      </c>
      <c r="E92" t="s">
        <v>57</v>
      </c>
      <c r="F92" t="s">
        <v>149</v>
      </c>
      <c r="G92">
        <v>10</v>
      </c>
      <c r="H92" s="3">
        <v>5</v>
      </c>
      <c r="I92" s="4">
        <v>0.1</v>
      </c>
      <c r="J92" s="3">
        <f>G92*H92*(1-I92)</f>
        <v>0</v>
      </c>
      <c r="K92" s="3">
        <f>G92*H92*0.65</f>
        <v>0</v>
      </c>
      <c r="L92" s="3">
        <f>J92-K92</f>
        <v>0</v>
      </c>
    </row>
    <row r="93" spans="1:12">
      <c r="A93" t="s">
        <v>154</v>
      </c>
      <c r="B93" s="2">
        <v>45618</v>
      </c>
      <c r="C93" t="s">
        <v>13</v>
      </c>
      <c r="D93" t="s">
        <v>14</v>
      </c>
      <c r="E93" t="s">
        <v>27</v>
      </c>
      <c r="F93" t="s">
        <v>101</v>
      </c>
      <c r="G93">
        <v>5</v>
      </c>
      <c r="H93" s="3">
        <v>65</v>
      </c>
      <c r="I93" s="4">
        <v>0.1</v>
      </c>
      <c r="J93" s="3">
        <f>G93*H93*(1-I93)</f>
        <v>0</v>
      </c>
      <c r="K93" s="3">
        <f>G93*H93*0.65</f>
        <v>0</v>
      </c>
      <c r="L93" s="3">
        <f>J93-K93</f>
        <v>0</v>
      </c>
    </row>
    <row r="94" spans="1:12">
      <c r="A94" t="s">
        <v>155</v>
      </c>
      <c r="B94" s="2">
        <v>45633</v>
      </c>
      <c r="C94" t="s">
        <v>13</v>
      </c>
      <c r="D94" t="s">
        <v>19</v>
      </c>
      <c r="E94" t="s">
        <v>45</v>
      </c>
      <c r="F94" t="s">
        <v>99</v>
      </c>
      <c r="G94">
        <v>8</v>
      </c>
      <c r="H94" s="3">
        <v>111</v>
      </c>
      <c r="I94" s="4">
        <v>0.05</v>
      </c>
      <c r="J94" s="3">
        <f>G94*H94*(1-I94)</f>
        <v>0</v>
      </c>
      <c r="K94" s="3">
        <f>G94*H94*0.65</f>
        <v>0</v>
      </c>
      <c r="L94" s="3">
        <f>J94-K94</f>
        <v>0</v>
      </c>
    </row>
    <row r="95" spans="1:12">
      <c r="A95" t="s">
        <v>156</v>
      </c>
      <c r="B95" s="2">
        <v>45064</v>
      </c>
      <c r="C95" t="s">
        <v>43</v>
      </c>
      <c r="D95" t="s">
        <v>23</v>
      </c>
      <c r="E95" t="s">
        <v>68</v>
      </c>
      <c r="F95" t="s">
        <v>69</v>
      </c>
      <c r="G95">
        <v>1</v>
      </c>
      <c r="H95" s="3">
        <v>130</v>
      </c>
      <c r="I95" s="4">
        <v>0</v>
      </c>
      <c r="J95" s="3">
        <f>G95*H95*(1-I95)</f>
        <v>0</v>
      </c>
      <c r="K95" s="3">
        <f>G95*H95*0.65</f>
        <v>0</v>
      </c>
      <c r="L95" s="3">
        <f>J95-K95</f>
        <v>0</v>
      </c>
    </row>
    <row r="96" spans="1:12">
      <c r="A96" t="s">
        <v>157</v>
      </c>
      <c r="B96" s="2">
        <v>44968</v>
      </c>
      <c r="C96" t="s">
        <v>13</v>
      </c>
      <c r="D96" t="s">
        <v>14</v>
      </c>
      <c r="E96" t="s">
        <v>27</v>
      </c>
      <c r="F96" t="s">
        <v>101</v>
      </c>
      <c r="G96">
        <v>3</v>
      </c>
      <c r="H96" s="3">
        <v>48</v>
      </c>
      <c r="I96" s="4">
        <v>0.05</v>
      </c>
      <c r="J96" s="3">
        <f>G96*H96*(1-I96)</f>
        <v>0</v>
      </c>
      <c r="K96" s="3">
        <f>G96*H96*0.65</f>
        <v>0</v>
      </c>
      <c r="L96" s="3">
        <f>J96-K96</f>
        <v>0</v>
      </c>
    </row>
    <row r="97" spans="1:12">
      <c r="A97" t="s">
        <v>158</v>
      </c>
      <c r="B97" s="2">
        <v>45366</v>
      </c>
      <c r="C97" t="s">
        <v>43</v>
      </c>
      <c r="D97" t="s">
        <v>19</v>
      </c>
      <c r="E97" t="s">
        <v>45</v>
      </c>
      <c r="F97" t="s">
        <v>99</v>
      </c>
      <c r="G97">
        <v>3</v>
      </c>
      <c r="H97" s="3">
        <v>140</v>
      </c>
      <c r="I97" s="4">
        <v>0</v>
      </c>
      <c r="J97" s="3">
        <f>G97*H97*(1-I97)</f>
        <v>0</v>
      </c>
      <c r="K97" s="3">
        <f>G97*H97*0.65</f>
        <v>0</v>
      </c>
      <c r="L97" s="3">
        <f>J97-K97</f>
        <v>0</v>
      </c>
    </row>
    <row r="98" spans="1:12">
      <c r="A98" t="s">
        <v>159</v>
      </c>
      <c r="B98" s="2">
        <v>44660</v>
      </c>
      <c r="C98" t="s">
        <v>55</v>
      </c>
      <c r="D98" t="s">
        <v>14</v>
      </c>
      <c r="E98" t="s">
        <v>57</v>
      </c>
      <c r="F98" t="s">
        <v>121</v>
      </c>
      <c r="G98">
        <v>9</v>
      </c>
      <c r="H98" s="3">
        <v>57</v>
      </c>
      <c r="I98" s="4">
        <v>0.15</v>
      </c>
      <c r="J98" s="3">
        <f>G98*H98*(1-I98)</f>
        <v>0</v>
      </c>
      <c r="K98" s="3">
        <f>G98*H98*0.65</f>
        <v>0</v>
      </c>
      <c r="L98" s="3">
        <f>J98-K98</f>
        <v>0</v>
      </c>
    </row>
    <row r="99" spans="1:12">
      <c r="A99" t="s">
        <v>160</v>
      </c>
      <c r="B99" s="2">
        <v>45245</v>
      </c>
      <c r="C99" t="s">
        <v>35</v>
      </c>
      <c r="D99" t="s">
        <v>23</v>
      </c>
      <c r="E99" t="s">
        <v>36</v>
      </c>
      <c r="F99" t="s">
        <v>37</v>
      </c>
      <c r="G99">
        <v>5</v>
      </c>
      <c r="H99" s="3">
        <v>69</v>
      </c>
      <c r="I99" s="4">
        <v>0.1</v>
      </c>
      <c r="J99" s="3">
        <f>G99*H99*(1-I99)</f>
        <v>0</v>
      </c>
      <c r="K99" s="3">
        <f>G99*H99*0.65</f>
        <v>0</v>
      </c>
      <c r="L99" s="3">
        <f>J99-K99</f>
        <v>0</v>
      </c>
    </row>
    <row r="100" spans="1:12">
      <c r="A100" t="s">
        <v>161</v>
      </c>
      <c r="B100" s="2">
        <v>45287</v>
      </c>
      <c r="C100" t="s">
        <v>35</v>
      </c>
      <c r="D100" t="s">
        <v>14</v>
      </c>
      <c r="E100" t="s">
        <v>57</v>
      </c>
      <c r="F100" t="s">
        <v>65</v>
      </c>
      <c r="G100">
        <v>12</v>
      </c>
      <c r="H100" s="3">
        <v>113</v>
      </c>
      <c r="I100" s="4">
        <v>0.1</v>
      </c>
      <c r="J100" s="3">
        <f>G100*H100*(1-I100)</f>
        <v>0</v>
      </c>
      <c r="K100" s="3">
        <f>G100*H100*0.65</f>
        <v>0</v>
      </c>
      <c r="L100" s="3">
        <f>J100-K100</f>
        <v>0</v>
      </c>
    </row>
    <row r="101" spans="1:12">
      <c r="A101" t="s">
        <v>162</v>
      </c>
      <c r="B101" s="2">
        <v>45522</v>
      </c>
      <c r="C101" t="s">
        <v>43</v>
      </c>
      <c r="D101" t="s">
        <v>14</v>
      </c>
      <c r="E101" t="s">
        <v>27</v>
      </c>
      <c r="F101" t="s">
        <v>28</v>
      </c>
      <c r="G101">
        <v>9</v>
      </c>
      <c r="H101" s="3">
        <v>142</v>
      </c>
      <c r="I101" s="4">
        <v>0.15</v>
      </c>
      <c r="J101" s="3">
        <f>G101*H101*(1-I101)</f>
        <v>0</v>
      </c>
      <c r="K101" s="3">
        <f>G101*H101*0.65</f>
        <v>0</v>
      </c>
      <c r="L101" s="3">
        <f>J101-K101</f>
        <v>0</v>
      </c>
    </row>
    <row r="102" spans="1:12">
      <c r="A102" t="s">
        <v>163</v>
      </c>
      <c r="B102" s="2">
        <v>45174</v>
      </c>
      <c r="C102" t="s">
        <v>35</v>
      </c>
      <c r="D102" t="s">
        <v>14</v>
      </c>
      <c r="E102" t="s">
        <v>15</v>
      </c>
      <c r="F102" t="s">
        <v>115</v>
      </c>
      <c r="G102">
        <v>13</v>
      </c>
      <c r="H102" s="3">
        <v>126</v>
      </c>
      <c r="I102" s="4">
        <v>0</v>
      </c>
      <c r="J102" s="3">
        <f>G102*H102*(1-I102)</f>
        <v>0</v>
      </c>
      <c r="K102" s="3">
        <f>G102*H102*0.65</f>
        <v>0</v>
      </c>
      <c r="L102" s="3">
        <f>J102-K102</f>
        <v>0</v>
      </c>
    </row>
    <row r="103" spans="1:12">
      <c r="A103" t="s">
        <v>164</v>
      </c>
      <c r="B103" s="2">
        <v>45204</v>
      </c>
      <c r="C103" t="s">
        <v>13</v>
      </c>
      <c r="D103" t="s">
        <v>14</v>
      </c>
      <c r="E103" t="s">
        <v>27</v>
      </c>
      <c r="F103" t="s">
        <v>28</v>
      </c>
      <c r="G103">
        <v>9</v>
      </c>
      <c r="H103" s="3">
        <v>105</v>
      </c>
      <c r="I103" s="4">
        <v>0.1</v>
      </c>
      <c r="J103" s="3">
        <f>G103*H103*(1-I103)</f>
        <v>0</v>
      </c>
      <c r="K103" s="3">
        <f>G103*H103*0.65</f>
        <v>0</v>
      </c>
      <c r="L103" s="3">
        <f>J103-K103</f>
        <v>0</v>
      </c>
    </row>
    <row r="104" spans="1:12">
      <c r="A104" t="s">
        <v>165</v>
      </c>
      <c r="B104" s="2">
        <v>45590</v>
      </c>
      <c r="C104" t="s">
        <v>18</v>
      </c>
      <c r="D104" t="s">
        <v>19</v>
      </c>
      <c r="E104" t="s">
        <v>30</v>
      </c>
      <c r="F104" t="s">
        <v>31</v>
      </c>
      <c r="G104">
        <v>1</v>
      </c>
      <c r="H104" s="3">
        <v>821</v>
      </c>
      <c r="I104" s="4">
        <v>0</v>
      </c>
      <c r="J104" s="3">
        <f>G104*H104*(1-I104)</f>
        <v>0</v>
      </c>
      <c r="K104" s="3">
        <f>G104*H104*0.65</f>
        <v>0</v>
      </c>
      <c r="L104" s="3">
        <f>J104-K104</f>
        <v>0</v>
      </c>
    </row>
    <row r="105" spans="1:12">
      <c r="A105" t="s">
        <v>166</v>
      </c>
      <c r="B105" s="2">
        <v>45064</v>
      </c>
      <c r="C105" t="s">
        <v>43</v>
      </c>
      <c r="D105" t="s">
        <v>19</v>
      </c>
      <c r="E105" t="s">
        <v>30</v>
      </c>
      <c r="F105" t="s">
        <v>130</v>
      </c>
      <c r="G105">
        <v>2</v>
      </c>
      <c r="H105" s="3">
        <v>1042</v>
      </c>
      <c r="I105" s="4">
        <v>0.15</v>
      </c>
      <c r="J105" s="3">
        <f>G105*H105*(1-I105)</f>
        <v>0</v>
      </c>
      <c r="K105" s="3">
        <f>G105*H105*0.65</f>
        <v>0</v>
      </c>
      <c r="L105" s="3">
        <f>J105-K105</f>
        <v>0</v>
      </c>
    </row>
    <row r="106" spans="1:12">
      <c r="A106" t="s">
        <v>167</v>
      </c>
      <c r="B106" s="2">
        <v>45328</v>
      </c>
      <c r="C106" t="s">
        <v>35</v>
      </c>
      <c r="D106" t="s">
        <v>23</v>
      </c>
      <c r="E106" t="s">
        <v>24</v>
      </c>
      <c r="F106" t="s">
        <v>117</v>
      </c>
      <c r="G106">
        <v>5</v>
      </c>
      <c r="H106" s="3">
        <v>44</v>
      </c>
      <c r="I106" s="4">
        <v>0</v>
      </c>
      <c r="J106" s="3">
        <f>G106*H106*(1-I106)</f>
        <v>0</v>
      </c>
      <c r="K106" s="3">
        <f>G106*H106*0.65</f>
        <v>0</v>
      </c>
      <c r="L106" s="3">
        <f>J106-K106</f>
        <v>0</v>
      </c>
    </row>
    <row r="107" spans="1:12">
      <c r="A107" t="s">
        <v>168</v>
      </c>
      <c r="B107" s="2">
        <v>44959</v>
      </c>
      <c r="C107" t="s">
        <v>43</v>
      </c>
      <c r="D107" t="s">
        <v>19</v>
      </c>
      <c r="E107" t="s">
        <v>20</v>
      </c>
      <c r="F107" t="s">
        <v>49</v>
      </c>
      <c r="G107">
        <v>4</v>
      </c>
      <c r="H107" s="3">
        <v>840</v>
      </c>
      <c r="I107" s="4">
        <v>0.1</v>
      </c>
      <c r="J107" s="3">
        <f>G107*H107*(1-I107)</f>
        <v>0</v>
      </c>
      <c r="K107" s="3">
        <f>G107*H107*0.65</f>
        <v>0</v>
      </c>
      <c r="L107" s="3">
        <f>J107-K107</f>
        <v>0</v>
      </c>
    </row>
    <row r="108" spans="1:12">
      <c r="A108" t="s">
        <v>169</v>
      </c>
      <c r="B108" s="2">
        <v>45432</v>
      </c>
      <c r="C108" t="s">
        <v>43</v>
      </c>
      <c r="D108" t="s">
        <v>19</v>
      </c>
      <c r="E108" t="s">
        <v>30</v>
      </c>
      <c r="F108" t="s">
        <v>130</v>
      </c>
      <c r="G108">
        <v>10</v>
      </c>
      <c r="H108" s="3">
        <v>1057</v>
      </c>
      <c r="I108" s="4">
        <v>0.1</v>
      </c>
      <c r="J108" s="3">
        <f>G108*H108*(1-I108)</f>
        <v>0</v>
      </c>
      <c r="K108" s="3">
        <f>G108*H108*0.65</f>
        <v>0</v>
      </c>
      <c r="L108" s="3">
        <f>J108-K108</f>
        <v>0</v>
      </c>
    </row>
    <row r="109" spans="1:12">
      <c r="A109" t="s">
        <v>170</v>
      </c>
      <c r="B109" s="2">
        <v>45356</v>
      </c>
      <c r="C109" t="s">
        <v>18</v>
      </c>
      <c r="D109" t="s">
        <v>23</v>
      </c>
      <c r="E109" t="s">
        <v>36</v>
      </c>
      <c r="F109" t="s">
        <v>74</v>
      </c>
      <c r="G109">
        <v>9</v>
      </c>
      <c r="H109" s="3">
        <v>340</v>
      </c>
      <c r="I109" s="4">
        <v>0</v>
      </c>
      <c r="J109" s="3">
        <f>G109*H109*(1-I109)</f>
        <v>0</v>
      </c>
      <c r="K109" s="3">
        <f>G109*H109*0.65</f>
        <v>0</v>
      </c>
      <c r="L109" s="3">
        <f>J109-K109</f>
        <v>0</v>
      </c>
    </row>
    <row r="110" spans="1:12">
      <c r="A110" t="s">
        <v>171</v>
      </c>
      <c r="B110" s="2">
        <v>44954</v>
      </c>
      <c r="C110" t="s">
        <v>13</v>
      </c>
      <c r="D110" t="s">
        <v>19</v>
      </c>
      <c r="E110" t="s">
        <v>20</v>
      </c>
      <c r="F110" t="s">
        <v>172</v>
      </c>
      <c r="G110">
        <v>7</v>
      </c>
      <c r="H110" s="3">
        <v>728</v>
      </c>
      <c r="I110" s="4">
        <v>0</v>
      </c>
      <c r="J110" s="3">
        <f>G110*H110*(1-I110)</f>
        <v>0</v>
      </c>
      <c r="K110" s="3">
        <f>G110*H110*0.65</f>
        <v>0</v>
      </c>
      <c r="L110" s="3">
        <f>J110-K110</f>
        <v>0</v>
      </c>
    </row>
    <row r="111" spans="1:12">
      <c r="A111" t="s">
        <v>173</v>
      </c>
      <c r="B111" s="2">
        <v>44768</v>
      </c>
      <c r="C111" t="s">
        <v>43</v>
      </c>
      <c r="D111" t="s">
        <v>19</v>
      </c>
      <c r="E111" t="s">
        <v>20</v>
      </c>
      <c r="F111" t="s">
        <v>21</v>
      </c>
      <c r="G111">
        <v>6</v>
      </c>
      <c r="H111" s="3">
        <v>134</v>
      </c>
      <c r="I111" s="4">
        <v>0.1</v>
      </c>
      <c r="J111" s="3">
        <f>G111*H111*(1-I111)</f>
        <v>0</v>
      </c>
      <c r="K111" s="3">
        <f>G111*H111*0.65</f>
        <v>0</v>
      </c>
      <c r="L111" s="3">
        <f>J111-K111</f>
        <v>0</v>
      </c>
    </row>
    <row r="112" spans="1:12">
      <c r="A112" t="s">
        <v>174</v>
      </c>
      <c r="B112" s="2">
        <v>45600</v>
      </c>
      <c r="C112" t="s">
        <v>35</v>
      </c>
      <c r="D112" t="s">
        <v>23</v>
      </c>
      <c r="E112" t="s">
        <v>68</v>
      </c>
      <c r="F112" t="s">
        <v>93</v>
      </c>
      <c r="G112">
        <v>7</v>
      </c>
      <c r="H112" s="3">
        <v>351</v>
      </c>
      <c r="I112" s="4">
        <v>0.05</v>
      </c>
      <c r="J112" s="3">
        <f>G112*H112*(1-I112)</f>
        <v>0</v>
      </c>
      <c r="K112" s="3">
        <f>G112*H112*0.65</f>
        <v>0</v>
      </c>
      <c r="L112" s="3">
        <f>J112-K112</f>
        <v>0</v>
      </c>
    </row>
    <row r="113" spans="1:12">
      <c r="A113" t="s">
        <v>175</v>
      </c>
      <c r="B113" s="2">
        <v>45453</v>
      </c>
      <c r="C113" t="s">
        <v>55</v>
      </c>
      <c r="D113" t="s">
        <v>23</v>
      </c>
      <c r="E113" t="s">
        <v>68</v>
      </c>
      <c r="F113" t="s">
        <v>93</v>
      </c>
      <c r="G113">
        <v>1</v>
      </c>
      <c r="H113" s="3">
        <v>343</v>
      </c>
      <c r="I113" s="4">
        <v>0</v>
      </c>
      <c r="J113" s="3">
        <f>G113*H113*(1-I113)</f>
        <v>0</v>
      </c>
      <c r="K113" s="3">
        <f>G113*H113*0.65</f>
        <v>0</v>
      </c>
      <c r="L113" s="3">
        <f>J113-K113</f>
        <v>0</v>
      </c>
    </row>
    <row r="114" spans="1:12">
      <c r="A114" t="s">
        <v>176</v>
      </c>
      <c r="B114" s="2">
        <v>45425</v>
      </c>
      <c r="C114" t="s">
        <v>43</v>
      </c>
      <c r="D114" t="s">
        <v>23</v>
      </c>
      <c r="E114" t="s">
        <v>68</v>
      </c>
      <c r="F114" t="s">
        <v>93</v>
      </c>
      <c r="G114">
        <v>1</v>
      </c>
      <c r="H114" s="3">
        <v>200</v>
      </c>
      <c r="I114" s="4">
        <v>0</v>
      </c>
      <c r="J114" s="3">
        <f>G114*H114*(1-I114)</f>
        <v>0</v>
      </c>
      <c r="K114" s="3">
        <f>G114*H114*0.65</f>
        <v>0</v>
      </c>
      <c r="L114" s="3">
        <f>J114-K114</f>
        <v>0</v>
      </c>
    </row>
    <row r="115" spans="1:12">
      <c r="A115" t="s">
        <v>177</v>
      </c>
      <c r="B115" s="2">
        <v>45304</v>
      </c>
      <c r="C115" t="s">
        <v>43</v>
      </c>
      <c r="D115" t="s">
        <v>14</v>
      </c>
      <c r="E115" t="s">
        <v>15</v>
      </c>
      <c r="F115" t="s">
        <v>16</v>
      </c>
      <c r="G115">
        <v>8</v>
      </c>
      <c r="H115" s="3">
        <v>15</v>
      </c>
      <c r="I115" s="4">
        <v>0</v>
      </c>
      <c r="J115" s="3">
        <f>G115*H115*(1-I115)</f>
        <v>0</v>
      </c>
      <c r="K115" s="3">
        <f>G115*H115*0.65</f>
        <v>0</v>
      </c>
      <c r="L115" s="3">
        <f>J115-K115</f>
        <v>0</v>
      </c>
    </row>
    <row r="116" spans="1:12">
      <c r="A116" t="s">
        <v>178</v>
      </c>
      <c r="B116" s="2">
        <v>45125</v>
      </c>
      <c r="C116" t="s">
        <v>18</v>
      </c>
      <c r="D116" t="s">
        <v>14</v>
      </c>
      <c r="E116" t="s">
        <v>27</v>
      </c>
      <c r="F116" t="s">
        <v>63</v>
      </c>
      <c r="G116">
        <v>13</v>
      </c>
      <c r="H116" s="3">
        <v>106</v>
      </c>
      <c r="I116" s="4">
        <v>0.1</v>
      </c>
      <c r="J116" s="3">
        <f>G116*H116*(1-I116)</f>
        <v>0</v>
      </c>
      <c r="K116" s="3">
        <f>G116*H116*0.65</f>
        <v>0</v>
      </c>
      <c r="L116" s="3">
        <f>J116-K116</f>
        <v>0</v>
      </c>
    </row>
    <row r="117" spans="1:12">
      <c r="A117" t="s">
        <v>179</v>
      </c>
      <c r="B117" s="2">
        <v>45582</v>
      </c>
      <c r="C117" t="s">
        <v>13</v>
      </c>
      <c r="D117" t="s">
        <v>23</v>
      </c>
      <c r="E117" t="s">
        <v>24</v>
      </c>
      <c r="F117" t="s">
        <v>147</v>
      </c>
      <c r="G117">
        <v>13</v>
      </c>
      <c r="H117" s="3">
        <v>39</v>
      </c>
      <c r="I117" s="4">
        <v>0.05</v>
      </c>
      <c r="J117" s="3">
        <f>G117*H117*(1-I117)</f>
        <v>0</v>
      </c>
      <c r="K117" s="3">
        <f>G117*H117*0.65</f>
        <v>0</v>
      </c>
      <c r="L117" s="3">
        <f>J117-K117</f>
        <v>0</v>
      </c>
    </row>
    <row r="118" spans="1:12">
      <c r="A118" t="s">
        <v>180</v>
      </c>
      <c r="B118" s="2">
        <v>44657</v>
      </c>
      <c r="C118" t="s">
        <v>55</v>
      </c>
      <c r="D118" t="s">
        <v>23</v>
      </c>
      <c r="E118" t="s">
        <v>36</v>
      </c>
      <c r="F118" t="s">
        <v>37</v>
      </c>
      <c r="G118">
        <v>2</v>
      </c>
      <c r="H118" s="3">
        <v>43</v>
      </c>
      <c r="I118" s="4">
        <v>0</v>
      </c>
      <c r="J118" s="3">
        <f>G118*H118*(1-I118)</f>
        <v>0</v>
      </c>
      <c r="K118" s="3">
        <f>G118*H118*0.65</f>
        <v>0</v>
      </c>
      <c r="L118" s="3">
        <f>J118-K118</f>
        <v>0</v>
      </c>
    </row>
    <row r="119" spans="1:12">
      <c r="A119" t="s">
        <v>181</v>
      </c>
      <c r="B119" s="2">
        <v>45046</v>
      </c>
      <c r="C119" t="s">
        <v>35</v>
      </c>
      <c r="D119" t="s">
        <v>23</v>
      </c>
      <c r="E119" t="s">
        <v>36</v>
      </c>
      <c r="F119" t="s">
        <v>74</v>
      </c>
      <c r="G119">
        <v>12</v>
      </c>
      <c r="H119" s="3">
        <v>359</v>
      </c>
      <c r="I119" s="4">
        <v>0</v>
      </c>
      <c r="J119" s="3">
        <f>G119*H119*(1-I119)</f>
        <v>0</v>
      </c>
      <c r="K119" s="3">
        <f>G119*H119*0.65</f>
        <v>0</v>
      </c>
      <c r="L119" s="3">
        <f>J119-K119</f>
        <v>0</v>
      </c>
    </row>
    <row r="120" spans="1:12">
      <c r="A120" t="s">
        <v>182</v>
      </c>
      <c r="B120" s="2">
        <v>44792</v>
      </c>
      <c r="C120" t="s">
        <v>55</v>
      </c>
      <c r="D120" t="s">
        <v>14</v>
      </c>
      <c r="E120" t="s">
        <v>57</v>
      </c>
      <c r="F120" t="s">
        <v>58</v>
      </c>
      <c r="G120">
        <v>10</v>
      </c>
      <c r="H120" s="3">
        <v>80</v>
      </c>
      <c r="I120" s="4">
        <v>0</v>
      </c>
      <c r="J120" s="3">
        <f>G120*H120*(1-I120)</f>
        <v>0</v>
      </c>
      <c r="K120" s="3">
        <f>G120*H120*0.65</f>
        <v>0</v>
      </c>
      <c r="L120" s="3">
        <f>J120-K120</f>
        <v>0</v>
      </c>
    </row>
    <row r="121" spans="1:12">
      <c r="A121" t="s">
        <v>183</v>
      </c>
      <c r="B121" s="2">
        <v>45310</v>
      </c>
      <c r="C121" t="s">
        <v>35</v>
      </c>
      <c r="D121" t="s">
        <v>14</v>
      </c>
      <c r="E121" t="s">
        <v>57</v>
      </c>
      <c r="F121" t="s">
        <v>121</v>
      </c>
      <c r="G121">
        <v>11</v>
      </c>
      <c r="H121" s="3">
        <v>147</v>
      </c>
      <c r="I121" s="4">
        <v>0</v>
      </c>
      <c r="J121" s="3">
        <f>G121*H121*(1-I121)</f>
        <v>0</v>
      </c>
      <c r="K121" s="3">
        <f>G121*H121*0.65</f>
        <v>0</v>
      </c>
      <c r="L121" s="3">
        <f>J121-K121</f>
        <v>0</v>
      </c>
    </row>
    <row r="122" spans="1:12">
      <c r="A122" t="s">
        <v>184</v>
      </c>
      <c r="B122" s="2">
        <v>45102</v>
      </c>
      <c r="C122" t="s">
        <v>13</v>
      </c>
      <c r="D122" t="s">
        <v>19</v>
      </c>
      <c r="E122" t="s">
        <v>20</v>
      </c>
      <c r="F122" t="s">
        <v>49</v>
      </c>
      <c r="G122">
        <v>9</v>
      </c>
      <c r="H122" s="3">
        <v>1000</v>
      </c>
      <c r="I122" s="4">
        <v>0.05</v>
      </c>
      <c r="J122" s="3">
        <f>G122*H122*(1-I122)</f>
        <v>0</v>
      </c>
      <c r="K122" s="3">
        <f>G122*H122*0.65</f>
        <v>0</v>
      </c>
      <c r="L122" s="3">
        <f>J122-K122</f>
        <v>0</v>
      </c>
    </row>
    <row r="123" spans="1:12">
      <c r="A123" t="s">
        <v>185</v>
      </c>
      <c r="B123" s="2">
        <v>45621</v>
      </c>
      <c r="C123" t="s">
        <v>35</v>
      </c>
      <c r="D123" t="s">
        <v>19</v>
      </c>
      <c r="E123" t="s">
        <v>30</v>
      </c>
      <c r="F123" t="s">
        <v>83</v>
      </c>
      <c r="G123">
        <v>7</v>
      </c>
      <c r="H123" s="3">
        <v>68</v>
      </c>
      <c r="I123" s="4">
        <v>0</v>
      </c>
      <c r="J123" s="3">
        <f>G123*H123*(1-I123)</f>
        <v>0</v>
      </c>
      <c r="K123" s="3">
        <f>G123*H123*0.65</f>
        <v>0</v>
      </c>
      <c r="L123" s="3">
        <f>J123-K123</f>
        <v>0</v>
      </c>
    </row>
    <row r="124" spans="1:12">
      <c r="A124" t="s">
        <v>186</v>
      </c>
      <c r="B124" s="2">
        <v>45086</v>
      </c>
      <c r="C124" t="s">
        <v>18</v>
      </c>
      <c r="D124" t="s">
        <v>23</v>
      </c>
      <c r="E124" t="s">
        <v>24</v>
      </c>
      <c r="F124" t="s">
        <v>25</v>
      </c>
      <c r="G124">
        <v>6</v>
      </c>
      <c r="H124" s="3">
        <v>57</v>
      </c>
      <c r="I124" s="4">
        <v>0</v>
      </c>
      <c r="J124" s="3">
        <f>G124*H124*(1-I124)</f>
        <v>0</v>
      </c>
      <c r="K124" s="3">
        <f>G124*H124*0.65</f>
        <v>0</v>
      </c>
      <c r="L124" s="3">
        <f>J124-K124</f>
        <v>0</v>
      </c>
    </row>
    <row r="125" spans="1:12">
      <c r="A125" t="s">
        <v>187</v>
      </c>
      <c r="B125" s="2">
        <v>45139</v>
      </c>
      <c r="C125" t="s">
        <v>18</v>
      </c>
      <c r="D125" t="s">
        <v>14</v>
      </c>
      <c r="E125" t="s">
        <v>27</v>
      </c>
      <c r="F125" t="s">
        <v>63</v>
      </c>
      <c r="G125">
        <v>1</v>
      </c>
      <c r="H125" s="3">
        <v>32</v>
      </c>
      <c r="I125" s="4">
        <v>0.1</v>
      </c>
      <c r="J125" s="3">
        <f>G125*H125*(1-I125)</f>
        <v>0</v>
      </c>
      <c r="K125" s="3">
        <f>G125*H125*0.65</f>
        <v>0</v>
      </c>
      <c r="L125" s="3">
        <f>J125-K125</f>
        <v>0</v>
      </c>
    </row>
    <row r="126" spans="1:12">
      <c r="A126" t="s">
        <v>188</v>
      </c>
      <c r="B126" s="2">
        <v>45243</v>
      </c>
      <c r="C126" t="s">
        <v>18</v>
      </c>
      <c r="D126" t="s">
        <v>14</v>
      </c>
      <c r="E126" t="s">
        <v>57</v>
      </c>
      <c r="F126" t="s">
        <v>121</v>
      </c>
      <c r="G126">
        <v>1</v>
      </c>
      <c r="H126" s="3">
        <v>113</v>
      </c>
      <c r="I126" s="4">
        <v>0</v>
      </c>
      <c r="J126" s="3">
        <f>G126*H126*(1-I126)</f>
        <v>0</v>
      </c>
      <c r="K126" s="3">
        <f>G126*H126*0.65</f>
        <v>0</v>
      </c>
      <c r="L126" s="3">
        <f>J126-K126</f>
        <v>0</v>
      </c>
    </row>
    <row r="127" spans="1:12">
      <c r="A127" t="s">
        <v>189</v>
      </c>
      <c r="B127" s="2">
        <v>45118</v>
      </c>
      <c r="C127" t="s">
        <v>18</v>
      </c>
      <c r="D127" t="s">
        <v>14</v>
      </c>
      <c r="E127" t="s">
        <v>27</v>
      </c>
      <c r="F127" t="s">
        <v>63</v>
      </c>
      <c r="G127">
        <v>2</v>
      </c>
      <c r="H127" s="3">
        <v>99</v>
      </c>
      <c r="I127" s="4">
        <v>0.05</v>
      </c>
      <c r="J127" s="3">
        <f>G127*H127*(1-I127)</f>
        <v>0</v>
      </c>
      <c r="K127" s="3">
        <f>G127*H127*0.65</f>
        <v>0</v>
      </c>
      <c r="L127" s="3">
        <f>J127-K127</f>
        <v>0</v>
      </c>
    </row>
    <row r="128" spans="1:12">
      <c r="A128" t="s">
        <v>190</v>
      </c>
      <c r="B128" s="2">
        <v>45574</v>
      </c>
      <c r="C128" t="s">
        <v>55</v>
      </c>
      <c r="D128" t="s">
        <v>23</v>
      </c>
      <c r="E128" t="s">
        <v>68</v>
      </c>
      <c r="F128" t="s">
        <v>69</v>
      </c>
      <c r="G128">
        <v>6</v>
      </c>
      <c r="H128" s="3">
        <v>56</v>
      </c>
      <c r="I128" s="4">
        <v>0.05</v>
      </c>
      <c r="J128" s="3">
        <f>G128*H128*(1-I128)</f>
        <v>0</v>
      </c>
      <c r="K128" s="3">
        <f>G128*H128*0.65</f>
        <v>0</v>
      </c>
      <c r="L128" s="3">
        <f>J128-K128</f>
        <v>0</v>
      </c>
    </row>
    <row r="129" spans="1:12">
      <c r="A129" t="s">
        <v>191</v>
      </c>
      <c r="B129" s="2">
        <v>45207</v>
      </c>
      <c r="C129" t="s">
        <v>13</v>
      </c>
      <c r="D129" t="s">
        <v>19</v>
      </c>
      <c r="E129" t="s">
        <v>30</v>
      </c>
      <c r="F129" t="s">
        <v>39</v>
      </c>
      <c r="G129">
        <v>14</v>
      </c>
      <c r="H129" s="3">
        <v>146</v>
      </c>
      <c r="I129" s="4">
        <v>0.05</v>
      </c>
      <c r="J129" s="3">
        <f>G129*H129*(1-I129)</f>
        <v>0</v>
      </c>
      <c r="K129" s="3">
        <f>G129*H129*0.65</f>
        <v>0</v>
      </c>
      <c r="L129" s="3">
        <f>J129-K129</f>
        <v>0</v>
      </c>
    </row>
    <row r="130" spans="1:12">
      <c r="A130" t="s">
        <v>192</v>
      </c>
      <c r="B130" s="2">
        <v>45357</v>
      </c>
      <c r="C130" t="s">
        <v>35</v>
      </c>
      <c r="D130" t="s">
        <v>23</v>
      </c>
      <c r="E130" t="s">
        <v>36</v>
      </c>
      <c r="F130" t="s">
        <v>76</v>
      </c>
      <c r="G130">
        <v>6</v>
      </c>
      <c r="H130" s="3">
        <v>31</v>
      </c>
      <c r="I130" s="4">
        <v>0.05</v>
      </c>
      <c r="J130" s="3">
        <f>G130*H130*(1-I130)</f>
        <v>0</v>
      </c>
      <c r="K130" s="3">
        <f>G130*H130*0.65</f>
        <v>0</v>
      </c>
      <c r="L130" s="3">
        <f>J130-K130</f>
        <v>0</v>
      </c>
    </row>
    <row r="131" spans="1:12">
      <c r="A131" t="s">
        <v>193</v>
      </c>
      <c r="B131" s="2">
        <v>45613</v>
      </c>
      <c r="C131" t="s">
        <v>35</v>
      </c>
      <c r="D131" t="s">
        <v>19</v>
      </c>
      <c r="E131" t="s">
        <v>45</v>
      </c>
      <c r="F131" t="s">
        <v>86</v>
      </c>
      <c r="G131">
        <v>2</v>
      </c>
      <c r="H131" s="3">
        <v>122</v>
      </c>
      <c r="I131" s="4">
        <v>0.05</v>
      </c>
      <c r="J131" s="3">
        <f>G131*H131*(1-I131)</f>
        <v>0</v>
      </c>
      <c r="K131" s="3">
        <f>G131*H131*0.65</f>
        <v>0</v>
      </c>
      <c r="L131" s="3">
        <f>J131-K131</f>
        <v>0</v>
      </c>
    </row>
    <row r="132" spans="1:12">
      <c r="A132" t="s">
        <v>194</v>
      </c>
      <c r="B132" s="2">
        <v>44751</v>
      </c>
      <c r="C132" t="s">
        <v>18</v>
      </c>
      <c r="D132" t="s">
        <v>19</v>
      </c>
      <c r="E132" t="s">
        <v>45</v>
      </c>
      <c r="F132" t="s">
        <v>46</v>
      </c>
      <c r="G132">
        <v>1</v>
      </c>
      <c r="H132" s="3">
        <v>67</v>
      </c>
      <c r="I132" s="4">
        <v>0.1</v>
      </c>
      <c r="J132" s="3">
        <f>G132*H132*(1-I132)</f>
        <v>0</v>
      </c>
      <c r="K132" s="3">
        <f>G132*H132*0.65</f>
        <v>0</v>
      </c>
      <c r="L132" s="3">
        <f>J132-K132</f>
        <v>0</v>
      </c>
    </row>
    <row r="133" spans="1:12">
      <c r="A133" t="s">
        <v>195</v>
      </c>
      <c r="B133" s="2">
        <v>45194</v>
      </c>
      <c r="C133" t="s">
        <v>18</v>
      </c>
      <c r="D133" t="s">
        <v>23</v>
      </c>
      <c r="E133" t="s">
        <v>68</v>
      </c>
      <c r="F133" t="s">
        <v>93</v>
      </c>
      <c r="G133">
        <v>10</v>
      </c>
      <c r="H133" s="3">
        <v>280</v>
      </c>
      <c r="I133" s="4">
        <v>0.05</v>
      </c>
      <c r="J133" s="3">
        <f>G133*H133*(1-I133)</f>
        <v>0</v>
      </c>
      <c r="K133" s="3">
        <f>G133*H133*0.65</f>
        <v>0</v>
      </c>
      <c r="L133" s="3">
        <f>J133-K133</f>
        <v>0</v>
      </c>
    </row>
    <row r="134" spans="1:12">
      <c r="A134" t="s">
        <v>196</v>
      </c>
      <c r="B134" s="2">
        <v>45189</v>
      </c>
      <c r="C134" t="s">
        <v>43</v>
      </c>
      <c r="D134" t="s">
        <v>19</v>
      </c>
      <c r="E134" t="s">
        <v>30</v>
      </c>
      <c r="F134" t="s">
        <v>130</v>
      </c>
      <c r="G134">
        <v>5</v>
      </c>
      <c r="H134" s="3">
        <v>1199</v>
      </c>
      <c r="I134" s="4">
        <v>0.05</v>
      </c>
      <c r="J134" s="3">
        <f>G134*H134*(1-I134)</f>
        <v>0</v>
      </c>
      <c r="K134" s="3">
        <f>G134*H134*0.65</f>
        <v>0</v>
      </c>
      <c r="L134" s="3">
        <f>J134-K134</f>
        <v>0</v>
      </c>
    </row>
    <row r="135" spans="1:12">
      <c r="A135" t="s">
        <v>197</v>
      </c>
      <c r="B135" s="2">
        <v>45534</v>
      </c>
      <c r="C135" t="s">
        <v>13</v>
      </c>
      <c r="D135" t="s">
        <v>19</v>
      </c>
      <c r="E135" t="s">
        <v>30</v>
      </c>
      <c r="F135" t="s">
        <v>83</v>
      </c>
      <c r="G135">
        <v>5</v>
      </c>
      <c r="H135" s="3">
        <v>123</v>
      </c>
      <c r="I135" s="4">
        <v>0.1</v>
      </c>
      <c r="J135" s="3">
        <f>G135*H135*(1-I135)</f>
        <v>0</v>
      </c>
      <c r="K135" s="3">
        <f>G135*H135*0.65</f>
        <v>0</v>
      </c>
      <c r="L135" s="3">
        <f>J135-K135</f>
        <v>0</v>
      </c>
    </row>
    <row r="136" spans="1:12">
      <c r="A136" t="s">
        <v>198</v>
      </c>
      <c r="B136" s="2">
        <v>45271</v>
      </c>
      <c r="C136" t="s">
        <v>55</v>
      </c>
      <c r="D136" t="s">
        <v>14</v>
      </c>
      <c r="E136" t="s">
        <v>57</v>
      </c>
      <c r="F136" t="s">
        <v>121</v>
      </c>
      <c r="G136">
        <v>2</v>
      </c>
      <c r="H136" s="3">
        <v>69</v>
      </c>
      <c r="I136" s="4">
        <v>0.05</v>
      </c>
      <c r="J136" s="3">
        <f>G136*H136*(1-I136)</f>
        <v>0</v>
      </c>
      <c r="K136" s="3">
        <f>G136*H136*0.65</f>
        <v>0</v>
      </c>
      <c r="L136" s="3">
        <f>J136-K136</f>
        <v>0</v>
      </c>
    </row>
    <row r="137" spans="1:12">
      <c r="A137" t="s">
        <v>199</v>
      </c>
      <c r="B137" s="2">
        <v>45210</v>
      </c>
      <c r="C137" t="s">
        <v>35</v>
      </c>
      <c r="D137" t="s">
        <v>19</v>
      </c>
      <c r="E137" t="s">
        <v>45</v>
      </c>
      <c r="F137" t="s">
        <v>97</v>
      </c>
      <c r="G137">
        <v>6</v>
      </c>
      <c r="H137" s="3">
        <v>31</v>
      </c>
      <c r="I137" s="4">
        <v>0</v>
      </c>
      <c r="J137" s="3">
        <f>G137*H137*(1-I137)</f>
        <v>0</v>
      </c>
      <c r="K137" s="3">
        <f>G137*H137*0.65</f>
        <v>0</v>
      </c>
      <c r="L137" s="3">
        <f>J137-K137</f>
        <v>0</v>
      </c>
    </row>
    <row r="138" spans="1:12">
      <c r="A138" t="s">
        <v>200</v>
      </c>
      <c r="B138" s="2">
        <v>44879</v>
      </c>
      <c r="C138" t="s">
        <v>43</v>
      </c>
      <c r="D138" t="s">
        <v>23</v>
      </c>
      <c r="E138" t="s">
        <v>36</v>
      </c>
      <c r="F138" t="s">
        <v>74</v>
      </c>
      <c r="G138">
        <v>9</v>
      </c>
      <c r="H138" s="3">
        <v>230</v>
      </c>
      <c r="I138" s="4">
        <v>0</v>
      </c>
      <c r="J138" s="3">
        <f>G138*H138*(1-I138)</f>
        <v>0</v>
      </c>
      <c r="K138" s="3">
        <f>G138*H138*0.65</f>
        <v>0</v>
      </c>
      <c r="L138" s="3">
        <f>J138-K138</f>
        <v>0</v>
      </c>
    </row>
    <row r="139" spans="1:12">
      <c r="A139" t="s">
        <v>201</v>
      </c>
      <c r="B139" s="2">
        <v>45245</v>
      </c>
      <c r="C139" t="s">
        <v>43</v>
      </c>
      <c r="D139" t="s">
        <v>23</v>
      </c>
      <c r="E139" t="s">
        <v>36</v>
      </c>
      <c r="F139" t="s">
        <v>74</v>
      </c>
      <c r="G139">
        <v>2</v>
      </c>
      <c r="H139" s="3">
        <v>318</v>
      </c>
      <c r="I139" s="4">
        <v>0</v>
      </c>
      <c r="J139" s="3">
        <f>G139*H139*(1-I139)</f>
        <v>0</v>
      </c>
      <c r="K139" s="3">
        <f>G139*H139*0.65</f>
        <v>0</v>
      </c>
      <c r="L139" s="3">
        <f>J139-K139</f>
        <v>0</v>
      </c>
    </row>
    <row r="140" spans="1:12">
      <c r="A140" t="s">
        <v>202</v>
      </c>
      <c r="B140" s="2">
        <v>45225</v>
      </c>
      <c r="C140" t="s">
        <v>35</v>
      </c>
      <c r="D140" t="s">
        <v>19</v>
      </c>
      <c r="E140" t="s">
        <v>20</v>
      </c>
      <c r="F140" t="s">
        <v>49</v>
      </c>
      <c r="G140">
        <v>10</v>
      </c>
      <c r="H140" s="3">
        <v>1067</v>
      </c>
      <c r="I140" s="4">
        <v>0.1</v>
      </c>
      <c r="J140" s="3">
        <f>G140*H140*(1-I140)</f>
        <v>0</v>
      </c>
      <c r="K140" s="3">
        <f>G140*H140*0.65</f>
        <v>0</v>
      </c>
      <c r="L140" s="3">
        <f>J140-K140</f>
        <v>0</v>
      </c>
    </row>
    <row r="141" spans="1:12">
      <c r="A141" t="s">
        <v>203</v>
      </c>
      <c r="B141" s="2">
        <v>45003</v>
      </c>
      <c r="C141" t="s">
        <v>55</v>
      </c>
      <c r="D141" t="s">
        <v>14</v>
      </c>
      <c r="E141" t="s">
        <v>27</v>
      </c>
      <c r="F141" t="s">
        <v>63</v>
      </c>
      <c r="G141">
        <v>2</v>
      </c>
      <c r="H141" s="3">
        <v>64</v>
      </c>
      <c r="I141" s="4">
        <v>0.1</v>
      </c>
      <c r="J141" s="3">
        <f>G141*H141*(1-I141)</f>
        <v>0</v>
      </c>
      <c r="K141" s="3">
        <f>G141*H141*0.65</f>
        <v>0</v>
      </c>
      <c r="L141" s="3">
        <f>J141-K141</f>
        <v>0</v>
      </c>
    </row>
    <row r="142" spans="1:12">
      <c r="A142" t="s">
        <v>204</v>
      </c>
      <c r="B142" s="2">
        <v>45125</v>
      </c>
      <c r="C142" t="s">
        <v>43</v>
      </c>
      <c r="D142" t="s">
        <v>14</v>
      </c>
      <c r="E142" t="s">
        <v>57</v>
      </c>
      <c r="F142" t="s">
        <v>65</v>
      </c>
      <c r="G142">
        <v>3</v>
      </c>
      <c r="H142" s="3">
        <v>136</v>
      </c>
      <c r="I142" s="4">
        <v>0.15</v>
      </c>
      <c r="J142" s="3">
        <f>G142*H142*(1-I142)</f>
        <v>0</v>
      </c>
      <c r="K142" s="3">
        <f>G142*H142*0.65</f>
        <v>0</v>
      </c>
      <c r="L142" s="3">
        <f>J142-K142</f>
        <v>0</v>
      </c>
    </row>
    <row r="143" spans="1:12">
      <c r="A143" t="s">
        <v>205</v>
      </c>
      <c r="B143" s="2">
        <v>45513</v>
      </c>
      <c r="C143" t="s">
        <v>43</v>
      </c>
      <c r="D143" t="s">
        <v>19</v>
      </c>
      <c r="E143" t="s">
        <v>20</v>
      </c>
      <c r="F143" t="s">
        <v>172</v>
      </c>
      <c r="G143">
        <v>13</v>
      </c>
      <c r="H143" s="3">
        <v>764</v>
      </c>
      <c r="I143" s="4">
        <v>0.05</v>
      </c>
      <c r="J143" s="3">
        <f>G143*H143*(1-I143)</f>
        <v>0</v>
      </c>
      <c r="K143" s="3">
        <f>G143*H143*0.65</f>
        <v>0</v>
      </c>
      <c r="L143" s="3">
        <f>J143-K143</f>
        <v>0</v>
      </c>
    </row>
    <row r="144" spans="1:12">
      <c r="A144" t="s">
        <v>206</v>
      </c>
      <c r="B144" s="2">
        <v>45260</v>
      </c>
      <c r="C144" t="s">
        <v>13</v>
      </c>
      <c r="D144" t="s">
        <v>19</v>
      </c>
      <c r="E144" t="s">
        <v>30</v>
      </c>
      <c r="F144" t="s">
        <v>130</v>
      </c>
      <c r="G144">
        <v>7</v>
      </c>
      <c r="H144" s="3">
        <v>1110</v>
      </c>
      <c r="I144" s="4">
        <v>0.05</v>
      </c>
      <c r="J144" s="3">
        <f>G144*H144*(1-I144)</f>
        <v>0</v>
      </c>
      <c r="K144" s="3">
        <f>G144*H144*0.65</f>
        <v>0</v>
      </c>
      <c r="L144" s="3">
        <f>J144-K144</f>
        <v>0</v>
      </c>
    </row>
    <row r="145" spans="1:12">
      <c r="A145" t="s">
        <v>207</v>
      </c>
      <c r="B145" s="2">
        <v>44674</v>
      </c>
      <c r="C145" t="s">
        <v>55</v>
      </c>
      <c r="D145" t="s">
        <v>23</v>
      </c>
      <c r="E145" t="s">
        <v>36</v>
      </c>
      <c r="F145" t="s">
        <v>37</v>
      </c>
      <c r="G145">
        <v>6</v>
      </c>
      <c r="H145" s="3">
        <v>74</v>
      </c>
      <c r="I145" s="4">
        <v>0</v>
      </c>
      <c r="J145" s="3">
        <f>G145*H145*(1-I145)</f>
        <v>0</v>
      </c>
      <c r="K145" s="3">
        <f>G145*H145*0.65</f>
        <v>0</v>
      </c>
      <c r="L145" s="3">
        <f>J145-K145</f>
        <v>0</v>
      </c>
    </row>
    <row r="146" spans="1:12">
      <c r="A146" t="s">
        <v>208</v>
      </c>
      <c r="B146" s="2">
        <v>44563</v>
      </c>
      <c r="C146" t="s">
        <v>43</v>
      </c>
      <c r="D146" t="s">
        <v>19</v>
      </c>
      <c r="E146" t="s">
        <v>30</v>
      </c>
      <c r="F146" t="s">
        <v>31</v>
      </c>
      <c r="G146">
        <v>12</v>
      </c>
      <c r="H146" s="3">
        <v>906</v>
      </c>
      <c r="I146" s="4">
        <v>0.05</v>
      </c>
      <c r="J146" s="3">
        <f>G146*H146*(1-I146)</f>
        <v>0</v>
      </c>
      <c r="K146" s="3">
        <f>G146*H146*0.65</f>
        <v>0</v>
      </c>
      <c r="L146" s="3">
        <f>J146-K146</f>
        <v>0</v>
      </c>
    </row>
    <row r="147" spans="1:12">
      <c r="A147" t="s">
        <v>209</v>
      </c>
      <c r="B147" s="2">
        <v>45203</v>
      </c>
      <c r="C147" t="s">
        <v>55</v>
      </c>
      <c r="D147" t="s">
        <v>14</v>
      </c>
      <c r="E147" t="s">
        <v>15</v>
      </c>
      <c r="F147" t="s">
        <v>33</v>
      </c>
      <c r="G147">
        <v>8</v>
      </c>
      <c r="H147" s="3">
        <v>119</v>
      </c>
      <c r="I147" s="4">
        <v>0.05</v>
      </c>
      <c r="J147" s="3">
        <f>G147*H147*(1-I147)</f>
        <v>0</v>
      </c>
      <c r="K147" s="3">
        <f>G147*H147*0.65</f>
        <v>0</v>
      </c>
      <c r="L147" s="3">
        <f>J147-K147</f>
        <v>0</v>
      </c>
    </row>
    <row r="148" spans="1:12">
      <c r="A148" t="s">
        <v>210</v>
      </c>
      <c r="B148" s="2">
        <v>44781</v>
      </c>
      <c r="C148" t="s">
        <v>35</v>
      </c>
      <c r="D148" t="s">
        <v>19</v>
      </c>
      <c r="E148" t="s">
        <v>45</v>
      </c>
      <c r="F148" t="s">
        <v>97</v>
      </c>
      <c r="G148">
        <v>8</v>
      </c>
      <c r="H148" s="3">
        <v>130</v>
      </c>
      <c r="I148" s="4">
        <v>0.15</v>
      </c>
      <c r="J148" s="3">
        <f>G148*H148*(1-I148)</f>
        <v>0</v>
      </c>
      <c r="K148" s="3">
        <f>G148*H148*0.65</f>
        <v>0</v>
      </c>
      <c r="L148" s="3">
        <f>J148-K148</f>
        <v>0</v>
      </c>
    </row>
    <row r="149" spans="1:12">
      <c r="A149" t="s">
        <v>211</v>
      </c>
      <c r="B149" s="2">
        <v>45416</v>
      </c>
      <c r="C149" t="s">
        <v>18</v>
      </c>
      <c r="D149" t="s">
        <v>23</v>
      </c>
      <c r="E149" t="s">
        <v>24</v>
      </c>
      <c r="F149" t="s">
        <v>60</v>
      </c>
      <c r="G149">
        <v>6</v>
      </c>
      <c r="H149" s="3">
        <v>114</v>
      </c>
      <c r="I149" s="4">
        <v>0</v>
      </c>
      <c r="J149" s="3">
        <f>G149*H149*(1-I149)</f>
        <v>0</v>
      </c>
      <c r="K149" s="3">
        <f>G149*H149*0.65</f>
        <v>0</v>
      </c>
      <c r="L149" s="3">
        <f>J149-K149</f>
        <v>0</v>
      </c>
    </row>
    <row r="150" spans="1:12">
      <c r="A150" t="s">
        <v>212</v>
      </c>
      <c r="B150" s="2">
        <v>44946</v>
      </c>
      <c r="C150" t="s">
        <v>43</v>
      </c>
      <c r="D150" t="s">
        <v>23</v>
      </c>
      <c r="E150" t="s">
        <v>36</v>
      </c>
      <c r="F150" t="s">
        <v>74</v>
      </c>
      <c r="G150">
        <v>12</v>
      </c>
      <c r="H150" s="3">
        <v>211</v>
      </c>
      <c r="I150" s="4">
        <v>0.05</v>
      </c>
      <c r="J150" s="3">
        <f>G150*H150*(1-I150)</f>
        <v>0</v>
      </c>
      <c r="K150" s="3">
        <f>G150*H150*0.65</f>
        <v>0</v>
      </c>
      <c r="L150" s="3">
        <f>J150-K150</f>
        <v>0</v>
      </c>
    </row>
    <row r="151" spans="1:12">
      <c r="A151" t="s">
        <v>213</v>
      </c>
      <c r="B151" s="2">
        <v>45638</v>
      </c>
      <c r="C151" t="s">
        <v>13</v>
      </c>
      <c r="D151" t="s">
        <v>23</v>
      </c>
      <c r="E151" t="s">
        <v>24</v>
      </c>
      <c r="F151" t="s">
        <v>117</v>
      </c>
      <c r="G151">
        <v>11</v>
      </c>
      <c r="H151" s="3">
        <v>78</v>
      </c>
      <c r="I151" s="4">
        <v>0.05</v>
      </c>
      <c r="J151" s="3">
        <f>G151*H151*(1-I151)</f>
        <v>0</v>
      </c>
      <c r="K151" s="3">
        <f>G151*H151*0.65</f>
        <v>0</v>
      </c>
      <c r="L151" s="3">
        <f>J151-K151</f>
        <v>0</v>
      </c>
    </row>
    <row r="152" spans="1:12">
      <c r="A152" t="s">
        <v>214</v>
      </c>
      <c r="B152" s="2">
        <v>45291</v>
      </c>
      <c r="C152" t="s">
        <v>35</v>
      </c>
      <c r="D152" t="s">
        <v>23</v>
      </c>
      <c r="E152" t="s">
        <v>68</v>
      </c>
      <c r="F152" t="s">
        <v>93</v>
      </c>
      <c r="G152">
        <v>10</v>
      </c>
      <c r="H152" s="3">
        <v>276</v>
      </c>
      <c r="I152" s="4">
        <v>0.05</v>
      </c>
      <c r="J152" s="3">
        <f>G152*H152*(1-I152)</f>
        <v>0</v>
      </c>
      <c r="K152" s="3">
        <f>G152*H152*0.65</f>
        <v>0</v>
      </c>
      <c r="L152" s="3">
        <f>J152-K152</f>
        <v>0</v>
      </c>
    </row>
    <row r="153" spans="1:12">
      <c r="A153" t="s">
        <v>215</v>
      </c>
      <c r="B153" s="2">
        <v>44808</v>
      </c>
      <c r="C153" t="s">
        <v>55</v>
      </c>
      <c r="D153" t="s">
        <v>23</v>
      </c>
      <c r="E153" t="s">
        <v>24</v>
      </c>
      <c r="F153" t="s">
        <v>117</v>
      </c>
      <c r="G153">
        <v>3</v>
      </c>
      <c r="H153" s="3">
        <v>124</v>
      </c>
      <c r="I153" s="4">
        <v>0.05</v>
      </c>
      <c r="J153" s="3">
        <f>G153*H153*(1-I153)</f>
        <v>0</v>
      </c>
      <c r="K153" s="3">
        <f>G153*H153*0.65</f>
        <v>0</v>
      </c>
      <c r="L153" s="3">
        <f>J153-K153</f>
        <v>0</v>
      </c>
    </row>
    <row r="154" spans="1:12">
      <c r="A154" t="s">
        <v>216</v>
      </c>
      <c r="B154" s="2">
        <v>45397</v>
      </c>
      <c r="C154" t="s">
        <v>35</v>
      </c>
      <c r="D154" t="s">
        <v>19</v>
      </c>
      <c r="E154" t="s">
        <v>45</v>
      </c>
      <c r="F154" t="s">
        <v>46</v>
      </c>
      <c r="G154">
        <v>3</v>
      </c>
      <c r="H154" s="3">
        <v>54</v>
      </c>
      <c r="I154" s="4">
        <v>0.1</v>
      </c>
      <c r="J154" s="3">
        <f>G154*H154*(1-I154)</f>
        <v>0</v>
      </c>
      <c r="K154" s="3">
        <f>G154*H154*0.65</f>
        <v>0</v>
      </c>
      <c r="L154" s="3">
        <f>J154-K154</f>
        <v>0</v>
      </c>
    </row>
    <row r="155" spans="1:12">
      <c r="A155" t="s">
        <v>217</v>
      </c>
      <c r="B155" s="2">
        <v>44764</v>
      </c>
      <c r="C155" t="s">
        <v>43</v>
      </c>
      <c r="D155" t="s">
        <v>19</v>
      </c>
      <c r="E155" t="s">
        <v>45</v>
      </c>
      <c r="F155" t="s">
        <v>86</v>
      </c>
      <c r="G155">
        <v>1</v>
      </c>
      <c r="H155" s="3">
        <v>52</v>
      </c>
      <c r="I155" s="4">
        <v>0</v>
      </c>
      <c r="J155" s="3">
        <f>G155*H155*(1-I155)</f>
        <v>0</v>
      </c>
      <c r="K155" s="3">
        <f>G155*H155*0.65</f>
        <v>0</v>
      </c>
      <c r="L155" s="3">
        <f>J155-K155</f>
        <v>0</v>
      </c>
    </row>
    <row r="156" spans="1:12">
      <c r="A156" t="s">
        <v>218</v>
      </c>
      <c r="B156" s="2">
        <v>44684</v>
      </c>
      <c r="C156" t="s">
        <v>55</v>
      </c>
      <c r="D156" t="s">
        <v>19</v>
      </c>
      <c r="E156" t="s">
        <v>45</v>
      </c>
      <c r="F156" t="s">
        <v>86</v>
      </c>
      <c r="G156">
        <v>7</v>
      </c>
      <c r="H156" s="3">
        <v>53</v>
      </c>
      <c r="I156" s="4">
        <v>0.1</v>
      </c>
      <c r="J156" s="3">
        <f>G156*H156*(1-I156)</f>
        <v>0</v>
      </c>
      <c r="K156" s="3">
        <f>G156*H156*0.65</f>
        <v>0</v>
      </c>
      <c r="L156" s="3">
        <f>J156-K156</f>
        <v>0</v>
      </c>
    </row>
    <row r="157" spans="1:12">
      <c r="A157" t="s">
        <v>219</v>
      </c>
      <c r="B157" s="2">
        <v>44962</v>
      </c>
      <c r="C157" t="s">
        <v>18</v>
      </c>
      <c r="D157" t="s">
        <v>19</v>
      </c>
      <c r="E157" t="s">
        <v>45</v>
      </c>
      <c r="F157" t="s">
        <v>97</v>
      </c>
      <c r="G157">
        <v>5</v>
      </c>
      <c r="H157" s="3">
        <v>67</v>
      </c>
      <c r="I157" s="4">
        <v>0.05</v>
      </c>
      <c r="J157" s="3">
        <f>G157*H157*(1-I157)</f>
        <v>0</v>
      </c>
      <c r="K157" s="3">
        <f>G157*H157*0.65</f>
        <v>0</v>
      </c>
      <c r="L157" s="3">
        <f>J157-K157</f>
        <v>0</v>
      </c>
    </row>
    <row r="158" spans="1:12">
      <c r="A158" t="s">
        <v>220</v>
      </c>
      <c r="B158" s="2">
        <v>45328</v>
      </c>
      <c r="C158" t="s">
        <v>35</v>
      </c>
      <c r="D158" t="s">
        <v>23</v>
      </c>
      <c r="E158" t="s">
        <v>24</v>
      </c>
      <c r="F158" t="s">
        <v>147</v>
      </c>
      <c r="G158">
        <v>4</v>
      </c>
      <c r="H158" s="3">
        <v>57</v>
      </c>
      <c r="I158" s="4">
        <v>0.1</v>
      </c>
      <c r="J158" s="3">
        <f>G158*H158*(1-I158)</f>
        <v>0</v>
      </c>
      <c r="K158" s="3">
        <f>G158*H158*0.65</f>
        <v>0</v>
      </c>
      <c r="L158" s="3">
        <f>J158-K158</f>
        <v>0</v>
      </c>
    </row>
    <row r="159" spans="1:12">
      <c r="A159" t="s">
        <v>221</v>
      </c>
      <c r="B159" s="2">
        <v>44855</v>
      </c>
      <c r="C159" t="s">
        <v>43</v>
      </c>
      <c r="D159" t="s">
        <v>14</v>
      </c>
      <c r="E159" t="s">
        <v>15</v>
      </c>
      <c r="F159" t="s">
        <v>16</v>
      </c>
      <c r="G159">
        <v>10</v>
      </c>
      <c r="H159" s="3">
        <v>15</v>
      </c>
      <c r="I159" s="4">
        <v>0.1</v>
      </c>
      <c r="J159" s="3">
        <f>G159*H159*(1-I159)</f>
        <v>0</v>
      </c>
      <c r="K159" s="3">
        <f>G159*H159*0.65</f>
        <v>0</v>
      </c>
      <c r="L159" s="3">
        <f>J159-K159</f>
        <v>0</v>
      </c>
    </row>
    <row r="160" spans="1:12">
      <c r="A160" t="s">
        <v>222</v>
      </c>
      <c r="B160" s="2">
        <v>44841</v>
      </c>
      <c r="C160" t="s">
        <v>13</v>
      </c>
      <c r="D160" t="s">
        <v>19</v>
      </c>
      <c r="E160" t="s">
        <v>20</v>
      </c>
      <c r="F160" t="s">
        <v>21</v>
      </c>
      <c r="G160">
        <v>4</v>
      </c>
      <c r="H160" s="3">
        <v>47</v>
      </c>
      <c r="I160" s="4">
        <v>0</v>
      </c>
      <c r="J160" s="3">
        <f>G160*H160*(1-I160)</f>
        <v>0</v>
      </c>
      <c r="K160" s="3">
        <f>G160*H160*0.65</f>
        <v>0</v>
      </c>
      <c r="L160" s="3">
        <f>J160-K160</f>
        <v>0</v>
      </c>
    </row>
    <row r="161" spans="1:12">
      <c r="A161" t="s">
        <v>223</v>
      </c>
      <c r="B161" s="2">
        <v>45445</v>
      </c>
      <c r="C161" t="s">
        <v>55</v>
      </c>
      <c r="D161" t="s">
        <v>14</v>
      </c>
      <c r="E161" t="s">
        <v>57</v>
      </c>
      <c r="F161" t="s">
        <v>121</v>
      </c>
      <c r="G161">
        <v>14</v>
      </c>
      <c r="H161" s="3">
        <v>65</v>
      </c>
      <c r="I161" s="4">
        <v>0</v>
      </c>
      <c r="J161" s="3">
        <f>G161*H161*(1-I161)</f>
        <v>0</v>
      </c>
      <c r="K161" s="3">
        <f>G161*H161*0.65</f>
        <v>0</v>
      </c>
      <c r="L161" s="3">
        <f>J161-K161</f>
        <v>0</v>
      </c>
    </row>
    <row r="162" spans="1:12">
      <c r="A162" t="s">
        <v>224</v>
      </c>
      <c r="B162" s="2">
        <v>44759</v>
      </c>
      <c r="C162" t="s">
        <v>35</v>
      </c>
      <c r="D162" t="s">
        <v>19</v>
      </c>
      <c r="E162" t="s">
        <v>30</v>
      </c>
      <c r="F162" t="s">
        <v>39</v>
      </c>
      <c r="G162">
        <v>4</v>
      </c>
      <c r="H162" s="3">
        <v>128</v>
      </c>
      <c r="I162" s="4">
        <v>0.15</v>
      </c>
      <c r="J162" s="3">
        <f>G162*H162*(1-I162)</f>
        <v>0</v>
      </c>
      <c r="K162" s="3">
        <f>G162*H162*0.65</f>
        <v>0</v>
      </c>
      <c r="L162" s="3">
        <f>J162-K162</f>
        <v>0</v>
      </c>
    </row>
    <row r="163" spans="1:12">
      <c r="A163" t="s">
        <v>225</v>
      </c>
      <c r="B163" s="2">
        <v>45543</v>
      </c>
      <c r="C163" t="s">
        <v>35</v>
      </c>
      <c r="D163" t="s">
        <v>19</v>
      </c>
      <c r="E163" t="s">
        <v>30</v>
      </c>
      <c r="F163" t="s">
        <v>39</v>
      </c>
      <c r="G163">
        <v>6</v>
      </c>
      <c r="H163" s="3">
        <v>74</v>
      </c>
      <c r="I163" s="4">
        <v>0.05</v>
      </c>
      <c r="J163" s="3">
        <f>G163*H163*(1-I163)</f>
        <v>0</v>
      </c>
      <c r="K163" s="3">
        <f>G163*H163*0.65</f>
        <v>0</v>
      </c>
      <c r="L163" s="3">
        <f>J163-K163</f>
        <v>0</v>
      </c>
    </row>
    <row r="164" spans="1:12">
      <c r="A164" t="s">
        <v>226</v>
      </c>
      <c r="B164" s="2">
        <v>45313</v>
      </c>
      <c r="C164" t="s">
        <v>18</v>
      </c>
      <c r="D164" t="s">
        <v>14</v>
      </c>
      <c r="E164" t="s">
        <v>57</v>
      </c>
      <c r="F164" t="s">
        <v>58</v>
      </c>
      <c r="G164">
        <v>8</v>
      </c>
      <c r="H164" s="3">
        <v>148</v>
      </c>
      <c r="I164" s="4">
        <v>0.15</v>
      </c>
      <c r="J164" s="3">
        <f>G164*H164*(1-I164)</f>
        <v>0</v>
      </c>
      <c r="K164" s="3">
        <f>G164*H164*0.65</f>
        <v>0</v>
      </c>
      <c r="L164" s="3">
        <f>J164-K164</f>
        <v>0</v>
      </c>
    </row>
    <row r="165" spans="1:12">
      <c r="A165" t="s">
        <v>227</v>
      </c>
      <c r="B165" s="2">
        <v>44705</v>
      </c>
      <c r="C165" t="s">
        <v>18</v>
      </c>
      <c r="D165" t="s">
        <v>23</v>
      </c>
      <c r="E165" t="s">
        <v>68</v>
      </c>
      <c r="F165" t="s">
        <v>69</v>
      </c>
      <c r="G165">
        <v>8</v>
      </c>
      <c r="H165" s="3">
        <v>102</v>
      </c>
      <c r="I165" s="4">
        <v>0</v>
      </c>
      <c r="J165" s="3">
        <f>G165*H165*(1-I165)</f>
        <v>0</v>
      </c>
      <c r="K165" s="3">
        <f>G165*H165*0.65</f>
        <v>0</v>
      </c>
      <c r="L165" s="3">
        <f>J165-K165</f>
        <v>0</v>
      </c>
    </row>
    <row r="166" spans="1:12">
      <c r="A166" t="s">
        <v>228</v>
      </c>
      <c r="B166" s="2">
        <v>45170</v>
      </c>
      <c r="C166" t="s">
        <v>13</v>
      </c>
      <c r="D166" t="s">
        <v>19</v>
      </c>
      <c r="E166" t="s">
        <v>45</v>
      </c>
      <c r="F166" t="s">
        <v>46</v>
      </c>
      <c r="G166">
        <v>5</v>
      </c>
      <c r="H166" s="3">
        <v>82</v>
      </c>
      <c r="I166" s="4">
        <v>0.05</v>
      </c>
      <c r="J166" s="3">
        <f>G166*H166*(1-I166)</f>
        <v>0</v>
      </c>
      <c r="K166" s="3">
        <f>G166*H166*0.65</f>
        <v>0</v>
      </c>
      <c r="L166" s="3">
        <f>J166-K166</f>
        <v>0</v>
      </c>
    </row>
    <row r="167" spans="1:12">
      <c r="A167" t="s">
        <v>229</v>
      </c>
      <c r="B167" s="2">
        <v>44748</v>
      </c>
      <c r="C167" t="s">
        <v>13</v>
      </c>
      <c r="D167" t="s">
        <v>19</v>
      </c>
      <c r="E167" t="s">
        <v>20</v>
      </c>
      <c r="F167" t="s">
        <v>51</v>
      </c>
      <c r="G167">
        <v>6</v>
      </c>
      <c r="H167" s="3">
        <v>131</v>
      </c>
      <c r="I167" s="4">
        <v>0.1</v>
      </c>
      <c r="J167" s="3">
        <f>G167*H167*(1-I167)</f>
        <v>0</v>
      </c>
      <c r="K167" s="3">
        <f>G167*H167*0.65</f>
        <v>0</v>
      </c>
      <c r="L167" s="3">
        <f>J167-K167</f>
        <v>0</v>
      </c>
    </row>
    <row r="168" spans="1:12">
      <c r="A168" t="s">
        <v>230</v>
      </c>
      <c r="B168" s="2">
        <v>45025</v>
      </c>
      <c r="C168" t="s">
        <v>43</v>
      </c>
      <c r="D168" t="s">
        <v>19</v>
      </c>
      <c r="E168" t="s">
        <v>20</v>
      </c>
      <c r="F168" t="s">
        <v>172</v>
      </c>
      <c r="G168">
        <v>4</v>
      </c>
      <c r="H168" s="3">
        <v>821</v>
      </c>
      <c r="I168" s="4">
        <v>0.15</v>
      </c>
      <c r="J168" s="3">
        <f>G168*H168*(1-I168)</f>
        <v>0</v>
      </c>
      <c r="K168" s="3">
        <f>G168*H168*0.65</f>
        <v>0</v>
      </c>
      <c r="L168" s="3">
        <f>J168-K168</f>
        <v>0</v>
      </c>
    </row>
    <row r="169" spans="1:12">
      <c r="A169" t="s">
        <v>231</v>
      </c>
      <c r="B169" s="2">
        <v>45221</v>
      </c>
      <c r="C169" t="s">
        <v>43</v>
      </c>
      <c r="D169" t="s">
        <v>14</v>
      </c>
      <c r="E169" t="s">
        <v>57</v>
      </c>
      <c r="F169" t="s">
        <v>149</v>
      </c>
      <c r="G169">
        <v>12</v>
      </c>
      <c r="H169" s="3">
        <v>16</v>
      </c>
      <c r="I169" s="4">
        <v>0</v>
      </c>
      <c r="J169" s="3">
        <f>G169*H169*(1-I169)</f>
        <v>0</v>
      </c>
      <c r="K169" s="3">
        <f>G169*H169*0.65</f>
        <v>0</v>
      </c>
      <c r="L169" s="3">
        <f>J169-K169</f>
        <v>0</v>
      </c>
    </row>
    <row r="170" spans="1:12">
      <c r="A170" t="s">
        <v>232</v>
      </c>
      <c r="B170" s="2">
        <v>45325</v>
      </c>
      <c r="C170" t="s">
        <v>13</v>
      </c>
      <c r="D170" t="s">
        <v>23</v>
      </c>
      <c r="E170" t="s">
        <v>68</v>
      </c>
      <c r="F170" t="s">
        <v>152</v>
      </c>
      <c r="G170">
        <v>14</v>
      </c>
      <c r="H170" s="3">
        <v>247</v>
      </c>
      <c r="I170" s="4">
        <v>0.1</v>
      </c>
      <c r="J170" s="3">
        <f>G170*H170*(1-I170)</f>
        <v>0</v>
      </c>
      <c r="K170" s="3">
        <f>G170*H170*0.65</f>
        <v>0</v>
      </c>
      <c r="L170" s="3">
        <f>J170-K170</f>
        <v>0</v>
      </c>
    </row>
    <row r="171" spans="1:12">
      <c r="A171" t="s">
        <v>233</v>
      </c>
      <c r="B171" s="2">
        <v>45516</v>
      </c>
      <c r="C171" t="s">
        <v>13</v>
      </c>
      <c r="D171" t="s">
        <v>14</v>
      </c>
      <c r="E171" t="s">
        <v>57</v>
      </c>
      <c r="F171" t="s">
        <v>149</v>
      </c>
      <c r="G171">
        <v>11</v>
      </c>
      <c r="H171" s="3">
        <v>7</v>
      </c>
      <c r="I171" s="4">
        <v>0.05</v>
      </c>
      <c r="J171" s="3">
        <f>G171*H171*(1-I171)</f>
        <v>0</v>
      </c>
      <c r="K171" s="3">
        <f>G171*H171*0.65</f>
        <v>0</v>
      </c>
      <c r="L171" s="3">
        <f>J171-K171</f>
        <v>0</v>
      </c>
    </row>
    <row r="172" spans="1:12">
      <c r="A172" t="s">
        <v>234</v>
      </c>
      <c r="B172" s="2">
        <v>44964</v>
      </c>
      <c r="C172" t="s">
        <v>55</v>
      </c>
      <c r="D172" t="s">
        <v>14</v>
      </c>
      <c r="E172" t="s">
        <v>57</v>
      </c>
      <c r="F172" t="s">
        <v>58</v>
      </c>
      <c r="G172">
        <v>13</v>
      </c>
      <c r="H172" s="3">
        <v>96</v>
      </c>
      <c r="I172" s="4">
        <v>0</v>
      </c>
      <c r="J172" s="3">
        <f>G172*H172*(1-I172)</f>
        <v>0</v>
      </c>
      <c r="K172" s="3">
        <f>G172*H172*0.65</f>
        <v>0</v>
      </c>
      <c r="L172" s="3">
        <f>J172-K172</f>
        <v>0</v>
      </c>
    </row>
    <row r="173" spans="1:12">
      <c r="A173" t="s">
        <v>235</v>
      </c>
      <c r="B173" s="2">
        <v>44708</v>
      </c>
      <c r="C173" t="s">
        <v>18</v>
      </c>
      <c r="D173" t="s">
        <v>23</v>
      </c>
      <c r="E173" t="s">
        <v>24</v>
      </c>
      <c r="F173" t="s">
        <v>117</v>
      </c>
      <c r="G173">
        <v>9</v>
      </c>
      <c r="H173" s="3">
        <v>57</v>
      </c>
      <c r="I173" s="4">
        <v>0.05</v>
      </c>
      <c r="J173" s="3">
        <f>G173*H173*(1-I173)</f>
        <v>0</v>
      </c>
      <c r="K173" s="3">
        <f>G173*H173*0.65</f>
        <v>0</v>
      </c>
      <c r="L173" s="3">
        <f>J173-K173</f>
        <v>0</v>
      </c>
    </row>
    <row r="174" spans="1:12">
      <c r="A174" t="s">
        <v>236</v>
      </c>
      <c r="B174" s="2">
        <v>45425</v>
      </c>
      <c r="C174" t="s">
        <v>43</v>
      </c>
      <c r="D174" t="s">
        <v>14</v>
      </c>
      <c r="E174" t="s">
        <v>57</v>
      </c>
      <c r="F174" t="s">
        <v>58</v>
      </c>
      <c r="G174">
        <v>8</v>
      </c>
      <c r="H174" s="3">
        <v>73</v>
      </c>
      <c r="I174" s="4">
        <v>0.05</v>
      </c>
      <c r="J174" s="3">
        <f>G174*H174*(1-I174)</f>
        <v>0</v>
      </c>
      <c r="K174" s="3">
        <f>G174*H174*0.65</f>
        <v>0</v>
      </c>
      <c r="L174" s="3">
        <f>J174-K174</f>
        <v>0</v>
      </c>
    </row>
    <row r="175" spans="1:12">
      <c r="A175" t="s">
        <v>237</v>
      </c>
      <c r="B175" s="2">
        <v>45050</v>
      </c>
      <c r="C175" t="s">
        <v>18</v>
      </c>
      <c r="D175" t="s">
        <v>23</v>
      </c>
      <c r="E175" t="s">
        <v>68</v>
      </c>
      <c r="F175" t="s">
        <v>69</v>
      </c>
      <c r="G175">
        <v>10</v>
      </c>
      <c r="H175" s="3">
        <v>108</v>
      </c>
      <c r="I175" s="4">
        <v>0.15</v>
      </c>
      <c r="J175" s="3">
        <f>G175*H175*(1-I175)</f>
        <v>0</v>
      </c>
      <c r="K175" s="3">
        <f>G175*H175*0.65</f>
        <v>0</v>
      </c>
      <c r="L175" s="3">
        <f>J175-K175</f>
        <v>0</v>
      </c>
    </row>
    <row r="176" spans="1:12">
      <c r="A176" t="s">
        <v>238</v>
      </c>
      <c r="B176" s="2">
        <v>45490</v>
      </c>
      <c r="C176" t="s">
        <v>18</v>
      </c>
      <c r="D176" t="s">
        <v>19</v>
      </c>
      <c r="E176" t="s">
        <v>45</v>
      </c>
      <c r="F176" t="s">
        <v>97</v>
      </c>
      <c r="G176">
        <v>12</v>
      </c>
      <c r="H176" s="3">
        <v>70</v>
      </c>
      <c r="I176" s="4">
        <v>0.05</v>
      </c>
      <c r="J176" s="3">
        <f>G176*H176*(1-I176)</f>
        <v>0</v>
      </c>
      <c r="K176" s="3">
        <f>G176*H176*0.65</f>
        <v>0</v>
      </c>
      <c r="L176" s="3">
        <f>J176-K176</f>
        <v>0</v>
      </c>
    </row>
    <row r="177" spans="1:12">
      <c r="A177" t="s">
        <v>239</v>
      </c>
      <c r="B177" s="2">
        <v>45112</v>
      </c>
      <c r="C177" t="s">
        <v>13</v>
      </c>
      <c r="D177" t="s">
        <v>23</v>
      </c>
      <c r="E177" t="s">
        <v>68</v>
      </c>
      <c r="F177" t="s">
        <v>240</v>
      </c>
      <c r="G177">
        <v>10</v>
      </c>
      <c r="H177" s="3">
        <v>92</v>
      </c>
      <c r="I177" s="4">
        <v>0</v>
      </c>
      <c r="J177" s="3">
        <f>G177*H177*(1-I177)</f>
        <v>0</v>
      </c>
      <c r="K177" s="3">
        <f>G177*H177*0.65</f>
        <v>0</v>
      </c>
      <c r="L177" s="3">
        <f>J177-K177</f>
        <v>0</v>
      </c>
    </row>
    <row r="178" spans="1:12">
      <c r="A178" t="s">
        <v>241</v>
      </c>
      <c r="B178" s="2">
        <v>44899</v>
      </c>
      <c r="C178" t="s">
        <v>55</v>
      </c>
      <c r="D178" t="s">
        <v>19</v>
      </c>
      <c r="E178" t="s">
        <v>30</v>
      </c>
      <c r="F178" t="s">
        <v>31</v>
      </c>
      <c r="G178">
        <v>1</v>
      </c>
      <c r="H178" s="3">
        <v>722</v>
      </c>
      <c r="I178" s="4">
        <v>0</v>
      </c>
      <c r="J178" s="3">
        <f>G178*H178*(1-I178)</f>
        <v>0</v>
      </c>
      <c r="K178" s="3">
        <f>G178*H178*0.65</f>
        <v>0</v>
      </c>
      <c r="L178" s="3">
        <f>J178-K178</f>
        <v>0</v>
      </c>
    </row>
    <row r="179" spans="1:12">
      <c r="A179" t="s">
        <v>242</v>
      </c>
      <c r="B179" s="2">
        <v>45433</v>
      </c>
      <c r="C179" t="s">
        <v>35</v>
      </c>
      <c r="D179" t="s">
        <v>14</v>
      </c>
      <c r="E179" t="s">
        <v>57</v>
      </c>
      <c r="F179" t="s">
        <v>58</v>
      </c>
      <c r="G179">
        <v>2</v>
      </c>
      <c r="H179" s="3">
        <v>133</v>
      </c>
      <c r="I179" s="4">
        <v>0.05</v>
      </c>
      <c r="J179" s="3">
        <f>G179*H179*(1-I179)</f>
        <v>0</v>
      </c>
      <c r="K179" s="3">
        <f>G179*H179*0.65</f>
        <v>0</v>
      </c>
      <c r="L179" s="3">
        <f>J179-K179</f>
        <v>0</v>
      </c>
    </row>
    <row r="180" spans="1:12">
      <c r="A180" t="s">
        <v>243</v>
      </c>
      <c r="B180" s="2">
        <v>45202</v>
      </c>
      <c r="C180" t="s">
        <v>55</v>
      </c>
      <c r="D180" t="s">
        <v>14</v>
      </c>
      <c r="E180" t="s">
        <v>57</v>
      </c>
      <c r="F180" t="s">
        <v>149</v>
      </c>
      <c r="G180">
        <v>9</v>
      </c>
      <c r="H180" s="3">
        <v>15</v>
      </c>
      <c r="I180" s="4">
        <v>0</v>
      </c>
      <c r="J180" s="3">
        <f>G180*H180*(1-I180)</f>
        <v>0</v>
      </c>
      <c r="K180" s="3">
        <f>G180*H180*0.65</f>
        <v>0</v>
      </c>
      <c r="L180" s="3">
        <f>J180-K180</f>
        <v>0</v>
      </c>
    </row>
    <row r="181" spans="1:12">
      <c r="A181" t="s">
        <v>244</v>
      </c>
      <c r="B181" s="2">
        <v>45034</v>
      </c>
      <c r="C181" t="s">
        <v>55</v>
      </c>
      <c r="D181" t="s">
        <v>19</v>
      </c>
      <c r="E181" t="s">
        <v>30</v>
      </c>
      <c r="F181" t="s">
        <v>31</v>
      </c>
      <c r="G181">
        <v>8</v>
      </c>
      <c r="H181" s="3">
        <v>747</v>
      </c>
      <c r="I181" s="4">
        <v>0.1</v>
      </c>
      <c r="J181" s="3">
        <f>G181*H181*(1-I181)</f>
        <v>0</v>
      </c>
      <c r="K181" s="3">
        <f>G181*H181*0.65</f>
        <v>0</v>
      </c>
      <c r="L181" s="3">
        <f>J181-K181</f>
        <v>0</v>
      </c>
    </row>
    <row r="182" spans="1:12">
      <c r="A182" t="s">
        <v>245</v>
      </c>
      <c r="B182" s="2">
        <v>44712</v>
      </c>
      <c r="C182" t="s">
        <v>18</v>
      </c>
      <c r="D182" t="s">
        <v>14</v>
      </c>
      <c r="E182" t="s">
        <v>27</v>
      </c>
      <c r="F182" t="s">
        <v>140</v>
      </c>
      <c r="G182">
        <v>14</v>
      </c>
      <c r="H182" s="3">
        <v>61</v>
      </c>
      <c r="I182" s="4">
        <v>0</v>
      </c>
      <c r="J182" s="3">
        <f>G182*H182*(1-I182)</f>
        <v>0</v>
      </c>
      <c r="K182" s="3">
        <f>G182*H182*0.65</f>
        <v>0</v>
      </c>
      <c r="L182" s="3">
        <f>J182-K182</f>
        <v>0</v>
      </c>
    </row>
    <row r="183" spans="1:12">
      <c r="A183" t="s">
        <v>246</v>
      </c>
      <c r="B183" s="2">
        <v>44824</v>
      </c>
      <c r="C183" t="s">
        <v>55</v>
      </c>
      <c r="D183" t="s">
        <v>23</v>
      </c>
      <c r="E183" t="s">
        <v>68</v>
      </c>
      <c r="F183" t="s">
        <v>69</v>
      </c>
      <c r="G183">
        <v>3</v>
      </c>
      <c r="H183" s="3">
        <v>86</v>
      </c>
      <c r="I183" s="4">
        <v>0.15</v>
      </c>
      <c r="J183" s="3">
        <f>G183*H183*(1-I183)</f>
        <v>0</v>
      </c>
      <c r="K183" s="3">
        <f>G183*H183*0.65</f>
        <v>0</v>
      </c>
      <c r="L183" s="3">
        <f>J183-K183</f>
        <v>0</v>
      </c>
    </row>
    <row r="184" spans="1:12">
      <c r="A184" t="s">
        <v>247</v>
      </c>
      <c r="B184" s="2">
        <v>44705</v>
      </c>
      <c r="C184" t="s">
        <v>43</v>
      </c>
      <c r="D184" t="s">
        <v>19</v>
      </c>
      <c r="E184" t="s">
        <v>20</v>
      </c>
      <c r="F184" t="s">
        <v>172</v>
      </c>
      <c r="G184">
        <v>8</v>
      </c>
      <c r="H184" s="3">
        <v>817</v>
      </c>
      <c r="I184" s="4">
        <v>0.15</v>
      </c>
      <c r="J184" s="3">
        <f>G184*H184*(1-I184)</f>
        <v>0</v>
      </c>
      <c r="K184" s="3">
        <f>G184*H184*0.65</f>
        <v>0</v>
      </c>
      <c r="L184" s="3">
        <f>J184-K184</f>
        <v>0</v>
      </c>
    </row>
    <row r="185" spans="1:12">
      <c r="A185" t="s">
        <v>248</v>
      </c>
      <c r="B185" s="2">
        <v>44907</v>
      </c>
      <c r="C185" t="s">
        <v>18</v>
      </c>
      <c r="D185" t="s">
        <v>14</v>
      </c>
      <c r="E185" t="s">
        <v>15</v>
      </c>
      <c r="F185" t="s">
        <v>80</v>
      </c>
      <c r="G185">
        <v>12</v>
      </c>
      <c r="H185" s="3">
        <v>129</v>
      </c>
      <c r="I185" s="4">
        <v>0.05</v>
      </c>
      <c r="J185" s="3">
        <f>G185*H185*(1-I185)</f>
        <v>0</v>
      </c>
      <c r="K185" s="3">
        <f>G185*H185*0.65</f>
        <v>0</v>
      </c>
      <c r="L185" s="3">
        <f>J185-K185</f>
        <v>0</v>
      </c>
    </row>
    <row r="186" spans="1:12">
      <c r="A186" t="s">
        <v>249</v>
      </c>
      <c r="B186" s="2">
        <v>45185</v>
      </c>
      <c r="C186" t="s">
        <v>43</v>
      </c>
      <c r="D186" t="s">
        <v>19</v>
      </c>
      <c r="E186" t="s">
        <v>30</v>
      </c>
      <c r="F186" t="s">
        <v>31</v>
      </c>
      <c r="G186">
        <v>1</v>
      </c>
      <c r="H186" s="3">
        <v>823</v>
      </c>
      <c r="I186" s="4">
        <v>0.15</v>
      </c>
      <c r="J186" s="3">
        <f>G186*H186*(1-I186)</f>
        <v>0</v>
      </c>
      <c r="K186" s="3">
        <f>G186*H186*0.65</f>
        <v>0</v>
      </c>
      <c r="L186" s="3">
        <f>J186-K186</f>
        <v>0</v>
      </c>
    </row>
    <row r="187" spans="1:12">
      <c r="A187" t="s">
        <v>250</v>
      </c>
      <c r="B187" s="2">
        <v>45578</v>
      </c>
      <c r="C187" t="s">
        <v>35</v>
      </c>
      <c r="D187" t="s">
        <v>23</v>
      </c>
      <c r="E187" t="s">
        <v>68</v>
      </c>
      <c r="F187" t="s">
        <v>69</v>
      </c>
      <c r="G187">
        <v>10</v>
      </c>
      <c r="H187" s="3">
        <v>62</v>
      </c>
      <c r="I187" s="4">
        <v>0.1</v>
      </c>
      <c r="J187" s="3">
        <f>G187*H187*(1-I187)</f>
        <v>0</v>
      </c>
      <c r="K187" s="3">
        <f>G187*H187*0.65</f>
        <v>0</v>
      </c>
      <c r="L187" s="3">
        <f>J187-K187</f>
        <v>0</v>
      </c>
    </row>
    <row r="188" spans="1:12">
      <c r="A188" t="s">
        <v>251</v>
      </c>
      <c r="B188" s="2">
        <v>45442</v>
      </c>
      <c r="C188" t="s">
        <v>18</v>
      </c>
      <c r="D188" t="s">
        <v>23</v>
      </c>
      <c r="E188" t="s">
        <v>36</v>
      </c>
      <c r="F188" t="s">
        <v>41</v>
      </c>
      <c r="G188">
        <v>4</v>
      </c>
      <c r="H188" s="3">
        <v>53</v>
      </c>
      <c r="I188" s="4">
        <v>0.05</v>
      </c>
      <c r="J188" s="3">
        <f>G188*H188*(1-I188)</f>
        <v>0</v>
      </c>
      <c r="K188" s="3">
        <f>G188*H188*0.65</f>
        <v>0</v>
      </c>
      <c r="L188" s="3">
        <f>J188-K188</f>
        <v>0</v>
      </c>
    </row>
    <row r="189" spans="1:12">
      <c r="A189" t="s">
        <v>252</v>
      </c>
      <c r="B189" s="2">
        <v>44563</v>
      </c>
      <c r="C189" t="s">
        <v>35</v>
      </c>
      <c r="D189" t="s">
        <v>14</v>
      </c>
      <c r="E189" t="s">
        <v>57</v>
      </c>
      <c r="F189" t="s">
        <v>149</v>
      </c>
      <c r="G189">
        <v>3</v>
      </c>
      <c r="H189" s="3">
        <v>11</v>
      </c>
      <c r="I189" s="4">
        <v>0</v>
      </c>
      <c r="J189" s="3">
        <f>G189*H189*(1-I189)</f>
        <v>0</v>
      </c>
      <c r="K189" s="3">
        <f>G189*H189*0.65</f>
        <v>0</v>
      </c>
      <c r="L189" s="3">
        <f>J189-K189</f>
        <v>0</v>
      </c>
    </row>
    <row r="190" spans="1:12">
      <c r="A190" t="s">
        <v>253</v>
      </c>
      <c r="B190" s="2">
        <v>45458</v>
      </c>
      <c r="C190" t="s">
        <v>18</v>
      </c>
      <c r="D190" t="s">
        <v>23</v>
      </c>
      <c r="E190" t="s">
        <v>68</v>
      </c>
      <c r="F190" t="s">
        <v>240</v>
      </c>
      <c r="G190">
        <v>6</v>
      </c>
      <c r="H190" s="3">
        <v>63</v>
      </c>
      <c r="I190" s="4">
        <v>0.05</v>
      </c>
      <c r="J190" s="3">
        <f>G190*H190*(1-I190)</f>
        <v>0</v>
      </c>
      <c r="K190" s="3">
        <f>G190*H190*0.65</f>
        <v>0</v>
      </c>
      <c r="L190" s="3">
        <f>J190-K190</f>
        <v>0</v>
      </c>
    </row>
    <row r="191" spans="1:12">
      <c r="A191" t="s">
        <v>254</v>
      </c>
      <c r="B191" s="2">
        <v>44815</v>
      </c>
      <c r="C191" t="s">
        <v>13</v>
      </c>
      <c r="D191" t="s">
        <v>19</v>
      </c>
      <c r="E191" t="s">
        <v>30</v>
      </c>
      <c r="F191" t="s">
        <v>31</v>
      </c>
      <c r="G191">
        <v>7</v>
      </c>
      <c r="H191" s="3">
        <v>883</v>
      </c>
      <c r="I191" s="4">
        <v>0.05</v>
      </c>
      <c r="J191" s="3">
        <f>G191*H191*(1-I191)</f>
        <v>0</v>
      </c>
      <c r="K191" s="3">
        <f>G191*H191*0.65</f>
        <v>0</v>
      </c>
      <c r="L191" s="3">
        <f>J191-K191</f>
        <v>0</v>
      </c>
    </row>
    <row r="192" spans="1:12">
      <c r="A192" t="s">
        <v>255</v>
      </c>
      <c r="B192" s="2">
        <v>45014</v>
      </c>
      <c r="C192" t="s">
        <v>55</v>
      </c>
      <c r="D192" t="s">
        <v>23</v>
      </c>
      <c r="E192" t="s">
        <v>24</v>
      </c>
      <c r="F192" t="s">
        <v>25</v>
      </c>
      <c r="G192">
        <v>4</v>
      </c>
      <c r="H192" s="3">
        <v>57</v>
      </c>
      <c r="I192" s="4">
        <v>0.1</v>
      </c>
      <c r="J192" s="3">
        <f>G192*H192*(1-I192)</f>
        <v>0</v>
      </c>
      <c r="K192" s="3">
        <f>G192*H192*0.65</f>
        <v>0</v>
      </c>
      <c r="L192" s="3">
        <f>J192-K192</f>
        <v>0</v>
      </c>
    </row>
    <row r="193" spans="1:12">
      <c r="A193" t="s">
        <v>256</v>
      </c>
      <c r="B193" s="2">
        <v>45622</v>
      </c>
      <c r="C193" t="s">
        <v>13</v>
      </c>
      <c r="D193" t="s">
        <v>19</v>
      </c>
      <c r="E193" t="s">
        <v>20</v>
      </c>
      <c r="F193" t="s">
        <v>51</v>
      </c>
      <c r="G193">
        <v>7</v>
      </c>
      <c r="H193" s="3">
        <v>66</v>
      </c>
      <c r="I193" s="4">
        <v>0.05</v>
      </c>
      <c r="J193" s="3">
        <f>G193*H193*(1-I193)</f>
        <v>0</v>
      </c>
      <c r="K193" s="3">
        <f>G193*H193*0.65</f>
        <v>0</v>
      </c>
      <c r="L193" s="3">
        <f>J193-K193</f>
        <v>0</v>
      </c>
    </row>
    <row r="194" spans="1:12">
      <c r="A194" t="s">
        <v>257</v>
      </c>
      <c r="B194" s="2">
        <v>45576</v>
      </c>
      <c r="C194" t="s">
        <v>35</v>
      </c>
      <c r="D194" t="s">
        <v>19</v>
      </c>
      <c r="E194" t="s">
        <v>45</v>
      </c>
      <c r="F194" t="s">
        <v>46</v>
      </c>
      <c r="G194">
        <v>9</v>
      </c>
      <c r="H194" s="3">
        <v>36</v>
      </c>
      <c r="I194" s="4">
        <v>0.1</v>
      </c>
      <c r="J194" s="3">
        <f>G194*H194*(1-I194)</f>
        <v>0</v>
      </c>
      <c r="K194" s="3">
        <f>G194*H194*0.65</f>
        <v>0</v>
      </c>
      <c r="L194" s="3">
        <f>J194-K194</f>
        <v>0</v>
      </c>
    </row>
    <row r="195" spans="1:12">
      <c r="A195" t="s">
        <v>258</v>
      </c>
      <c r="B195" s="2">
        <v>44570</v>
      </c>
      <c r="C195" t="s">
        <v>55</v>
      </c>
      <c r="D195" t="s">
        <v>23</v>
      </c>
      <c r="E195" t="s">
        <v>24</v>
      </c>
      <c r="F195" t="s">
        <v>60</v>
      </c>
      <c r="G195">
        <v>11</v>
      </c>
      <c r="H195" s="3">
        <v>97</v>
      </c>
      <c r="I195" s="4">
        <v>0.05</v>
      </c>
      <c r="J195" s="3">
        <f>G195*H195*(1-I195)</f>
        <v>0</v>
      </c>
      <c r="K195" s="3">
        <f>G195*H195*0.65</f>
        <v>0</v>
      </c>
      <c r="L195" s="3">
        <f>J195-K195</f>
        <v>0</v>
      </c>
    </row>
    <row r="196" spans="1:12">
      <c r="A196" t="s">
        <v>259</v>
      </c>
      <c r="B196" s="2">
        <v>45377</v>
      </c>
      <c r="C196" t="s">
        <v>18</v>
      </c>
      <c r="D196" t="s">
        <v>14</v>
      </c>
      <c r="E196" t="s">
        <v>15</v>
      </c>
      <c r="F196" t="s">
        <v>80</v>
      </c>
      <c r="G196">
        <v>2</v>
      </c>
      <c r="H196" s="3">
        <v>66</v>
      </c>
      <c r="I196" s="4">
        <v>0</v>
      </c>
      <c r="J196" s="3">
        <f>G196*H196*(1-I196)</f>
        <v>0</v>
      </c>
      <c r="K196" s="3">
        <f>G196*H196*0.65</f>
        <v>0</v>
      </c>
      <c r="L196" s="3">
        <f>J196-K196</f>
        <v>0</v>
      </c>
    </row>
    <row r="197" spans="1:12">
      <c r="A197" t="s">
        <v>260</v>
      </c>
      <c r="B197" s="2">
        <v>44769</v>
      </c>
      <c r="C197" t="s">
        <v>55</v>
      </c>
      <c r="D197" t="s">
        <v>23</v>
      </c>
      <c r="E197" t="s">
        <v>24</v>
      </c>
      <c r="F197" t="s">
        <v>147</v>
      </c>
      <c r="G197">
        <v>11</v>
      </c>
      <c r="H197" s="3">
        <v>85</v>
      </c>
      <c r="I197" s="4">
        <v>0.15</v>
      </c>
      <c r="J197" s="3">
        <f>G197*H197*(1-I197)</f>
        <v>0</v>
      </c>
      <c r="K197" s="3">
        <f>G197*H197*0.65</f>
        <v>0</v>
      </c>
      <c r="L197" s="3">
        <f>J197-K197</f>
        <v>0</v>
      </c>
    </row>
    <row r="198" spans="1:12">
      <c r="A198" t="s">
        <v>261</v>
      </c>
      <c r="B198" s="2">
        <v>44965</v>
      </c>
      <c r="C198" t="s">
        <v>43</v>
      </c>
      <c r="D198" t="s">
        <v>19</v>
      </c>
      <c r="E198" t="s">
        <v>20</v>
      </c>
      <c r="F198" t="s">
        <v>49</v>
      </c>
      <c r="G198">
        <v>3</v>
      </c>
      <c r="H198" s="3">
        <v>1120</v>
      </c>
      <c r="I198" s="4">
        <v>0.05</v>
      </c>
      <c r="J198" s="3">
        <f>G198*H198*(1-I198)</f>
        <v>0</v>
      </c>
      <c r="K198" s="3">
        <f>G198*H198*0.65</f>
        <v>0</v>
      </c>
      <c r="L198" s="3">
        <f>J198-K198</f>
        <v>0</v>
      </c>
    </row>
    <row r="199" spans="1:12">
      <c r="A199" t="s">
        <v>262</v>
      </c>
      <c r="B199" s="2">
        <v>44713</v>
      </c>
      <c r="C199" t="s">
        <v>55</v>
      </c>
      <c r="D199" t="s">
        <v>19</v>
      </c>
      <c r="E199" t="s">
        <v>45</v>
      </c>
      <c r="F199" t="s">
        <v>99</v>
      </c>
      <c r="G199">
        <v>5</v>
      </c>
      <c r="H199" s="3">
        <v>94</v>
      </c>
      <c r="I199" s="4">
        <v>0</v>
      </c>
      <c r="J199" s="3">
        <f>G199*H199*(1-I199)</f>
        <v>0</v>
      </c>
      <c r="K199" s="3">
        <f>G199*H199*0.65</f>
        <v>0</v>
      </c>
      <c r="L199" s="3">
        <f>J199-K199</f>
        <v>0</v>
      </c>
    </row>
    <row r="200" spans="1:12">
      <c r="A200" t="s">
        <v>263</v>
      </c>
      <c r="B200" s="2">
        <v>44615</v>
      </c>
      <c r="C200" t="s">
        <v>43</v>
      </c>
      <c r="D200" t="s">
        <v>23</v>
      </c>
      <c r="E200" t="s">
        <v>68</v>
      </c>
      <c r="F200" t="s">
        <v>69</v>
      </c>
      <c r="G200">
        <v>3</v>
      </c>
      <c r="H200" s="3">
        <v>76</v>
      </c>
      <c r="I200" s="4">
        <v>0.05</v>
      </c>
      <c r="J200" s="3">
        <f>G200*H200*(1-I200)</f>
        <v>0</v>
      </c>
      <c r="K200" s="3">
        <f>G200*H200*0.65</f>
        <v>0</v>
      </c>
      <c r="L200" s="3">
        <f>J200-K200</f>
        <v>0</v>
      </c>
    </row>
    <row r="201" spans="1:12">
      <c r="A201" t="s">
        <v>264</v>
      </c>
      <c r="B201" s="2">
        <v>45189</v>
      </c>
      <c r="C201" t="s">
        <v>55</v>
      </c>
      <c r="D201" t="s">
        <v>14</v>
      </c>
      <c r="E201" t="s">
        <v>15</v>
      </c>
      <c r="F201" t="s">
        <v>33</v>
      </c>
      <c r="G201">
        <v>11</v>
      </c>
      <c r="H201" s="3">
        <v>49</v>
      </c>
      <c r="I201" s="4">
        <v>0</v>
      </c>
      <c r="J201" s="3">
        <f>G201*H201*(1-I201)</f>
        <v>0</v>
      </c>
      <c r="K201" s="3">
        <f>G201*H201*0.65</f>
        <v>0</v>
      </c>
      <c r="L201" s="3">
        <f>J201-K201</f>
        <v>0</v>
      </c>
    </row>
    <row r="202" spans="1:12">
      <c r="A202" t="s">
        <v>265</v>
      </c>
      <c r="B202" s="2">
        <v>45148</v>
      </c>
      <c r="C202" t="s">
        <v>43</v>
      </c>
      <c r="D202" t="s">
        <v>14</v>
      </c>
      <c r="E202" t="s">
        <v>57</v>
      </c>
      <c r="F202" t="s">
        <v>149</v>
      </c>
      <c r="G202">
        <v>8</v>
      </c>
      <c r="H202" s="3">
        <v>23</v>
      </c>
      <c r="I202" s="4">
        <v>0.05</v>
      </c>
      <c r="J202" s="3">
        <f>G202*H202*(1-I202)</f>
        <v>0</v>
      </c>
      <c r="K202" s="3">
        <f>G202*H202*0.65</f>
        <v>0</v>
      </c>
      <c r="L202" s="3">
        <f>J202-K202</f>
        <v>0</v>
      </c>
    </row>
    <row r="203" spans="1:12">
      <c r="A203" t="s">
        <v>266</v>
      </c>
      <c r="B203" s="2">
        <v>44665</v>
      </c>
      <c r="C203" t="s">
        <v>35</v>
      </c>
      <c r="D203" t="s">
        <v>19</v>
      </c>
      <c r="E203" t="s">
        <v>45</v>
      </c>
      <c r="F203" t="s">
        <v>86</v>
      </c>
      <c r="G203">
        <v>12</v>
      </c>
      <c r="H203" s="3">
        <v>58</v>
      </c>
      <c r="I203" s="4">
        <v>0.05</v>
      </c>
      <c r="J203" s="3">
        <f>G203*H203*(1-I203)</f>
        <v>0</v>
      </c>
      <c r="K203" s="3">
        <f>G203*H203*0.65</f>
        <v>0</v>
      </c>
      <c r="L203" s="3">
        <f>J203-K203</f>
        <v>0</v>
      </c>
    </row>
    <row r="204" spans="1:12">
      <c r="A204" t="s">
        <v>267</v>
      </c>
      <c r="B204" s="2">
        <v>44815</v>
      </c>
      <c r="C204" t="s">
        <v>13</v>
      </c>
      <c r="D204" t="s">
        <v>19</v>
      </c>
      <c r="E204" t="s">
        <v>30</v>
      </c>
      <c r="F204" t="s">
        <v>31</v>
      </c>
      <c r="G204">
        <v>10</v>
      </c>
      <c r="H204" s="3">
        <v>901</v>
      </c>
      <c r="I204" s="4">
        <v>0.05</v>
      </c>
      <c r="J204" s="3">
        <f>G204*H204*(1-I204)</f>
        <v>0</v>
      </c>
      <c r="K204" s="3">
        <f>G204*H204*0.65</f>
        <v>0</v>
      </c>
      <c r="L204" s="3">
        <f>J204-K204</f>
        <v>0</v>
      </c>
    </row>
    <row r="205" spans="1:12">
      <c r="A205" t="s">
        <v>268</v>
      </c>
      <c r="B205" s="2">
        <v>45071</v>
      </c>
      <c r="C205" t="s">
        <v>18</v>
      </c>
      <c r="D205" t="s">
        <v>14</v>
      </c>
      <c r="E205" t="s">
        <v>15</v>
      </c>
      <c r="F205" t="s">
        <v>33</v>
      </c>
      <c r="G205">
        <v>8</v>
      </c>
      <c r="H205" s="3">
        <v>89</v>
      </c>
      <c r="I205" s="4">
        <v>0.15</v>
      </c>
      <c r="J205" s="3">
        <f>G205*H205*(1-I205)</f>
        <v>0</v>
      </c>
      <c r="K205" s="3">
        <f>G205*H205*0.65</f>
        <v>0</v>
      </c>
      <c r="L205" s="3">
        <f>J205-K205</f>
        <v>0</v>
      </c>
    </row>
    <row r="206" spans="1:12">
      <c r="A206" t="s">
        <v>269</v>
      </c>
      <c r="B206" s="2">
        <v>44660</v>
      </c>
      <c r="C206" t="s">
        <v>55</v>
      </c>
      <c r="D206" t="s">
        <v>23</v>
      </c>
      <c r="E206" t="s">
        <v>24</v>
      </c>
      <c r="F206" t="s">
        <v>147</v>
      </c>
      <c r="G206">
        <v>8</v>
      </c>
      <c r="H206" s="3">
        <v>47</v>
      </c>
      <c r="I206" s="4">
        <v>0.05</v>
      </c>
      <c r="J206" s="3">
        <f>G206*H206*(1-I206)</f>
        <v>0</v>
      </c>
      <c r="K206" s="3">
        <f>G206*H206*0.65</f>
        <v>0</v>
      </c>
      <c r="L206" s="3">
        <f>J206-K206</f>
        <v>0</v>
      </c>
    </row>
    <row r="207" spans="1:12">
      <c r="A207" t="s">
        <v>270</v>
      </c>
      <c r="B207" s="2">
        <v>44714</v>
      </c>
      <c r="C207" t="s">
        <v>13</v>
      </c>
      <c r="D207" t="s">
        <v>19</v>
      </c>
      <c r="E207" t="s">
        <v>45</v>
      </c>
      <c r="F207" t="s">
        <v>46</v>
      </c>
      <c r="G207">
        <v>12</v>
      </c>
      <c r="H207" s="3">
        <v>121</v>
      </c>
      <c r="I207" s="4">
        <v>0</v>
      </c>
      <c r="J207" s="3">
        <f>G207*H207*(1-I207)</f>
        <v>0</v>
      </c>
      <c r="K207" s="3">
        <f>G207*H207*0.65</f>
        <v>0</v>
      </c>
      <c r="L207" s="3">
        <f>J207-K207</f>
        <v>0</v>
      </c>
    </row>
    <row r="208" spans="1:12">
      <c r="A208" t="s">
        <v>271</v>
      </c>
      <c r="B208" s="2">
        <v>45475</v>
      </c>
      <c r="C208" t="s">
        <v>18</v>
      </c>
      <c r="D208" t="s">
        <v>19</v>
      </c>
      <c r="E208" t="s">
        <v>45</v>
      </c>
      <c r="F208" t="s">
        <v>99</v>
      </c>
      <c r="G208">
        <v>12</v>
      </c>
      <c r="H208" s="3">
        <v>64</v>
      </c>
      <c r="I208" s="4">
        <v>0.05</v>
      </c>
      <c r="J208" s="3">
        <f>G208*H208*(1-I208)</f>
        <v>0</v>
      </c>
      <c r="K208" s="3">
        <f>G208*H208*0.65</f>
        <v>0</v>
      </c>
      <c r="L208" s="3">
        <f>J208-K208</f>
        <v>0</v>
      </c>
    </row>
    <row r="209" spans="1:12">
      <c r="A209" t="s">
        <v>272</v>
      </c>
      <c r="B209" s="2">
        <v>45439</v>
      </c>
      <c r="C209" t="s">
        <v>18</v>
      </c>
      <c r="D209" t="s">
        <v>14</v>
      </c>
      <c r="E209" t="s">
        <v>15</v>
      </c>
      <c r="F209" t="s">
        <v>80</v>
      </c>
      <c r="G209">
        <v>9</v>
      </c>
      <c r="H209" s="3">
        <v>72</v>
      </c>
      <c r="I209" s="4">
        <v>0.15</v>
      </c>
      <c r="J209" s="3">
        <f>G209*H209*(1-I209)</f>
        <v>0</v>
      </c>
      <c r="K209" s="3">
        <f>G209*H209*0.65</f>
        <v>0</v>
      </c>
      <c r="L209" s="3">
        <f>J209-K209</f>
        <v>0</v>
      </c>
    </row>
    <row r="210" spans="1:12">
      <c r="A210" t="s">
        <v>273</v>
      </c>
      <c r="B210" s="2">
        <v>44899</v>
      </c>
      <c r="C210" t="s">
        <v>43</v>
      </c>
      <c r="D210" t="s">
        <v>23</v>
      </c>
      <c r="E210" t="s">
        <v>68</v>
      </c>
      <c r="F210" t="s">
        <v>93</v>
      </c>
      <c r="G210">
        <v>4</v>
      </c>
      <c r="H210" s="3">
        <v>388</v>
      </c>
      <c r="I210" s="4">
        <v>0</v>
      </c>
      <c r="J210" s="3">
        <f>G210*H210*(1-I210)</f>
        <v>0</v>
      </c>
      <c r="K210" s="3">
        <f>G210*H210*0.65</f>
        <v>0</v>
      </c>
      <c r="L210" s="3">
        <f>J210-K210</f>
        <v>0</v>
      </c>
    </row>
    <row r="211" spans="1:12">
      <c r="A211" t="s">
        <v>274</v>
      </c>
      <c r="B211" s="2">
        <v>45383</v>
      </c>
      <c r="C211" t="s">
        <v>35</v>
      </c>
      <c r="D211" t="s">
        <v>14</v>
      </c>
      <c r="E211" t="s">
        <v>15</v>
      </c>
      <c r="F211" t="s">
        <v>80</v>
      </c>
      <c r="G211">
        <v>5</v>
      </c>
      <c r="H211" s="3">
        <v>124</v>
      </c>
      <c r="I211" s="4">
        <v>0</v>
      </c>
      <c r="J211" s="3">
        <f>G211*H211*(1-I211)</f>
        <v>0</v>
      </c>
      <c r="K211" s="3">
        <f>G211*H211*0.65</f>
        <v>0</v>
      </c>
      <c r="L211" s="3">
        <f>J211-K211</f>
        <v>0</v>
      </c>
    </row>
    <row r="212" spans="1:12">
      <c r="A212" t="s">
        <v>275</v>
      </c>
      <c r="B212" s="2">
        <v>45518</v>
      </c>
      <c r="C212" t="s">
        <v>35</v>
      </c>
      <c r="D212" t="s">
        <v>23</v>
      </c>
      <c r="E212" t="s">
        <v>68</v>
      </c>
      <c r="F212" t="s">
        <v>240</v>
      </c>
      <c r="G212">
        <v>5</v>
      </c>
      <c r="H212" s="3">
        <v>120</v>
      </c>
      <c r="I212" s="4">
        <v>0</v>
      </c>
      <c r="J212" s="3">
        <f>G212*H212*(1-I212)</f>
        <v>0</v>
      </c>
      <c r="K212" s="3">
        <f>G212*H212*0.65</f>
        <v>0</v>
      </c>
      <c r="L212" s="3">
        <f>J212-K212</f>
        <v>0</v>
      </c>
    </row>
    <row r="213" spans="1:12">
      <c r="A213" t="s">
        <v>276</v>
      </c>
      <c r="B213" s="2">
        <v>44722</v>
      </c>
      <c r="C213" t="s">
        <v>13</v>
      </c>
      <c r="D213" t="s">
        <v>23</v>
      </c>
      <c r="E213" t="s">
        <v>24</v>
      </c>
      <c r="F213" t="s">
        <v>117</v>
      </c>
      <c r="G213">
        <v>8</v>
      </c>
      <c r="H213" s="3">
        <v>40</v>
      </c>
      <c r="I213" s="4">
        <v>0</v>
      </c>
      <c r="J213" s="3">
        <f>G213*H213*(1-I213)</f>
        <v>0</v>
      </c>
      <c r="K213" s="3">
        <f>G213*H213*0.65</f>
        <v>0</v>
      </c>
      <c r="L213" s="3">
        <f>J213-K213</f>
        <v>0</v>
      </c>
    </row>
    <row r="214" spans="1:12">
      <c r="A214" t="s">
        <v>277</v>
      </c>
      <c r="B214" s="2">
        <v>45362</v>
      </c>
      <c r="C214" t="s">
        <v>35</v>
      </c>
      <c r="D214" t="s">
        <v>23</v>
      </c>
      <c r="E214" t="s">
        <v>68</v>
      </c>
      <c r="F214" t="s">
        <v>240</v>
      </c>
      <c r="G214">
        <v>7</v>
      </c>
      <c r="H214" s="3">
        <v>78</v>
      </c>
      <c r="I214" s="4">
        <v>0.1</v>
      </c>
      <c r="J214" s="3">
        <f>G214*H214*(1-I214)</f>
        <v>0</v>
      </c>
      <c r="K214" s="3">
        <f>G214*H214*0.65</f>
        <v>0</v>
      </c>
      <c r="L214" s="3">
        <f>J214-K214</f>
        <v>0</v>
      </c>
    </row>
    <row r="215" spans="1:12">
      <c r="A215" t="s">
        <v>278</v>
      </c>
      <c r="B215" s="2">
        <v>44959</v>
      </c>
      <c r="C215" t="s">
        <v>55</v>
      </c>
      <c r="D215" t="s">
        <v>19</v>
      </c>
      <c r="E215" t="s">
        <v>45</v>
      </c>
      <c r="F215" t="s">
        <v>99</v>
      </c>
      <c r="G215">
        <v>9</v>
      </c>
      <c r="H215" s="3">
        <v>142</v>
      </c>
      <c r="I215" s="4">
        <v>0.1</v>
      </c>
      <c r="J215" s="3">
        <f>G215*H215*(1-I215)</f>
        <v>0</v>
      </c>
      <c r="K215" s="3">
        <f>G215*H215*0.65</f>
        <v>0</v>
      </c>
      <c r="L215" s="3">
        <f>J215-K215</f>
        <v>0</v>
      </c>
    </row>
    <row r="216" spans="1:12">
      <c r="A216" t="s">
        <v>279</v>
      </c>
      <c r="B216" s="2">
        <v>45377</v>
      </c>
      <c r="C216" t="s">
        <v>35</v>
      </c>
      <c r="D216" t="s">
        <v>14</v>
      </c>
      <c r="E216" t="s">
        <v>57</v>
      </c>
      <c r="F216" t="s">
        <v>149</v>
      </c>
      <c r="G216">
        <v>14</v>
      </c>
      <c r="H216" s="3">
        <v>10</v>
      </c>
      <c r="I216" s="4">
        <v>0</v>
      </c>
      <c r="J216" s="3">
        <f>G216*H216*(1-I216)</f>
        <v>0</v>
      </c>
      <c r="K216" s="3">
        <f>G216*H216*0.65</f>
        <v>0</v>
      </c>
      <c r="L216" s="3">
        <f>J216-K216</f>
        <v>0</v>
      </c>
    </row>
    <row r="217" spans="1:12">
      <c r="A217" t="s">
        <v>280</v>
      </c>
      <c r="B217" s="2">
        <v>44962</v>
      </c>
      <c r="C217" t="s">
        <v>13</v>
      </c>
      <c r="D217" t="s">
        <v>14</v>
      </c>
      <c r="E217" t="s">
        <v>27</v>
      </c>
      <c r="F217" t="s">
        <v>63</v>
      </c>
      <c r="G217">
        <v>8</v>
      </c>
      <c r="H217" s="3">
        <v>93</v>
      </c>
      <c r="I217" s="4">
        <v>0.05</v>
      </c>
      <c r="J217" s="3">
        <f>G217*H217*(1-I217)</f>
        <v>0</v>
      </c>
      <c r="K217" s="3">
        <f>G217*H217*0.65</f>
        <v>0</v>
      </c>
      <c r="L217" s="3">
        <f>J217-K217</f>
        <v>0</v>
      </c>
    </row>
    <row r="218" spans="1:12">
      <c r="A218" t="s">
        <v>281</v>
      </c>
      <c r="B218" s="2">
        <v>45201</v>
      </c>
      <c r="C218" t="s">
        <v>35</v>
      </c>
      <c r="D218" t="s">
        <v>23</v>
      </c>
      <c r="E218" t="s">
        <v>68</v>
      </c>
      <c r="F218" t="s">
        <v>69</v>
      </c>
      <c r="G218">
        <v>2</v>
      </c>
      <c r="H218" s="3">
        <v>98</v>
      </c>
      <c r="I218" s="4">
        <v>0</v>
      </c>
      <c r="J218" s="3">
        <f>G218*H218*(1-I218)</f>
        <v>0</v>
      </c>
      <c r="K218" s="3">
        <f>G218*H218*0.65</f>
        <v>0</v>
      </c>
      <c r="L218" s="3">
        <f>J218-K218</f>
        <v>0</v>
      </c>
    </row>
    <row r="219" spans="1:12">
      <c r="A219" t="s">
        <v>282</v>
      </c>
      <c r="B219" s="2">
        <v>45618</v>
      </c>
      <c r="C219" t="s">
        <v>55</v>
      </c>
      <c r="D219" t="s">
        <v>19</v>
      </c>
      <c r="E219" t="s">
        <v>45</v>
      </c>
      <c r="F219" t="s">
        <v>46</v>
      </c>
      <c r="G219">
        <v>10</v>
      </c>
      <c r="H219" s="3">
        <v>37</v>
      </c>
      <c r="I219" s="4">
        <v>0.15</v>
      </c>
      <c r="J219" s="3">
        <f>G219*H219*(1-I219)</f>
        <v>0</v>
      </c>
      <c r="K219" s="3">
        <f>G219*H219*0.65</f>
        <v>0</v>
      </c>
      <c r="L219" s="3">
        <f>J219-K219</f>
        <v>0</v>
      </c>
    </row>
    <row r="220" spans="1:12">
      <c r="A220" t="s">
        <v>283</v>
      </c>
      <c r="B220" s="2">
        <v>45249</v>
      </c>
      <c r="C220" t="s">
        <v>43</v>
      </c>
      <c r="D220" t="s">
        <v>19</v>
      </c>
      <c r="E220" t="s">
        <v>20</v>
      </c>
      <c r="F220" t="s">
        <v>21</v>
      </c>
      <c r="G220">
        <v>12</v>
      </c>
      <c r="H220" s="3">
        <v>63</v>
      </c>
      <c r="I220" s="4">
        <v>0.15</v>
      </c>
      <c r="J220" s="3">
        <f>G220*H220*(1-I220)</f>
        <v>0</v>
      </c>
      <c r="K220" s="3">
        <f>G220*H220*0.65</f>
        <v>0</v>
      </c>
      <c r="L220" s="3">
        <f>J220-K220</f>
        <v>0</v>
      </c>
    </row>
    <row r="221" spans="1:12">
      <c r="A221" t="s">
        <v>284</v>
      </c>
      <c r="B221" s="2">
        <v>45021</v>
      </c>
      <c r="C221" t="s">
        <v>13</v>
      </c>
      <c r="D221" t="s">
        <v>14</v>
      </c>
      <c r="E221" t="s">
        <v>57</v>
      </c>
      <c r="F221" t="s">
        <v>121</v>
      </c>
      <c r="G221">
        <v>4</v>
      </c>
      <c r="H221" s="3">
        <v>77</v>
      </c>
      <c r="I221" s="4">
        <v>0</v>
      </c>
      <c r="J221" s="3">
        <f>G221*H221*(1-I221)</f>
        <v>0</v>
      </c>
      <c r="K221" s="3">
        <f>G221*H221*0.65</f>
        <v>0</v>
      </c>
      <c r="L221" s="3">
        <f>J221-K221</f>
        <v>0</v>
      </c>
    </row>
    <row r="222" spans="1:12">
      <c r="A222" t="s">
        <v>285</v>
      </c>
      <c r="B222" s="2">
        <v>45516</v>
      </c>
      <c r="C222" t="s">
        <v>43</v>
      </c>
      <c r="D222" t="s">
        <v>19</v>
      </c>
      <c r="E222" t="s">
        <v>20</v>
      </c>
      <c r="F222" t="s">
        <v>51</v>
      </c>
      <c r="G222">
        <v>6</v>
      </c>
      <c r="H222" s="3">
        <v>145</v>
      </c>
      <c r="I222" s="4">
        <v>0.1</v>
      </c>
      <c r="J222" s="3">
        <f>G222*H222*(1-I222)</f>
        <v>0</v>
      </c>
      <c r="K222" s="3">
        <f>G222*H222*0.65</f>
        <v>0</v>
      </c>
      <c r="L222" s="3">
        <f>J222-K222</f>
        <v>0</v>
      </c>
    </row>
    <row r="223" spans="1:12">
      <c r="A223" t="s">
        <v>286</v>
      </c>
      <c r="B223" s="2">
        <v>45031</v>
      </c>
      <c r="C223" t="s">
        <v>43</v>
      </c>
      <c r="D223" t="s">
        <v>19</v>
      </c>
      <c r="E223" t="s">
        <v>45</v>
      </c>
      <c r="F223" t="s">
        <v>86</v>
      </c>
      <c r="G223">
        <v>12</v>
      </c>
      <c r="H223" s="3">
        <v>85</v>
      </c>
      <c r="I223" s="4">
        <v>0.1</v>
      </c>
      <c r="J223" s="3">
        <f>G223*H223*(1-I223)</f>
        <v>0</v>
      </c>
      <c r="K223" s="3">
        <f>G223*H223*0.65</f>
        <v>0</v>
      </c>
      <c r="L223" s="3">
        <f>J223-K223</f>
        <v>0</v>
      </c>
    </row>
    <row r="224" spans="1:12">
      <c r="A224" t="s">
        <v>287</v>
      </c>
      <c r="B224" s="2">
        <v>45607</v>
      </c>
      <c r="C224" t="s">
        <v>43</v>
      </c>
      <c r="D224" t="s">
        <v>23</v>
      </c>
      <c r="E224" t="s">
        <v>36</v>
      </c>
      <c r="F224" t="s">
        <v>41</v>
      </c>
      <c r="G224">
        <v>2</v>
      </c>
      <c r="H224" s="3">
        <v>105</v>
      </c>
      <c r="I224" s="4">
        <v>0</v>
      </c>
      <c r="J224" s="3">
        <f>G224*H224*(1-I224)</f>
        <v>0</v>
      </c>
      <c r="K224" s="3">
        <f>G224*H224*0.65</f>
        <v>0</v>
      </c>
      <c r="L224" s="3">
        <f>J224-K224</f>
        <v>0</v>
      </c>
    </row>
    <row r="225" spans="1:12">
      <c r="A225" t="s">
        <v>288</v>
      </c>
      <c r="B225" s="2">
        <v>45311</v>
      </c>
      <c r="C225" t="s">
        <v>18</v>
      </c>
      <c r="D225" t="s">
        <v>19</v>
      </c>
      <c r="E225" t="s">
        <v>30</v>
      </c>
      <c r="F225" t="s">
        <v>130</v>
      </c>
      <c r="G225">
        <v>7</v>
      </c>
      <c r="H225" s="3">
        <v>1120</v>
      </c>
      <c r="I225" s="4">
        <v>0</v>
      </c>
      <c r="J225" s="3">
        <f>G225*H225*(1-I225)</f>
        <v>0</v>
      </c>
      <c r="K225" s="3">
        <f>G225*H225*0.65</f>
        <v>0</v>
      </c>
      <c r="L225" s="3">
        <f>J225-K225</f>
        <v>0</v>
      </c>
    </row>
    <row r="226" spans="1:12">
      <c r="A226" t="s">
        <v>289</v>
      </c>
      <c r="B226" s="2">
        <v>44599</v>
      </c>
      <c r="C226" t="s">
        <v>18</v>
      </c>
      <c r="D226" t="s">
        <v>23</v>
      </c>
      <c r="E226" t="s">
        <v>24</v>
      </c>
      <c r="F226" t="s">
        <v>25</v>
      </c>
      <c r="G226">
        <v>3</v>
      </c>
      <c r="H226" s="3">
        <v>60</v>
      </c>
      <c r="I226" s="4">
        <v>0.05</v>
      </c>
      <c r="J226" s="3">
        <f>G226*H226*(1-I226)</f>
        <v>0</v>
      </c>
      <c r="K226" s="3">
        <f>G226*H226*0.65</f>
        <v>0</v>
      </c>
      <c r="L226" s="3">
        <f>J226-K226</f>
        <v>0</v>
      </c>
    </row>
    <row r="227" spans="1:12">
      <c r="A227" t="s">
        <v>290</v>
      </c>
      <c r="B227" s="2">
        <v>44791</v>
      </c>
      <c r="C227" t="s">
        <v>43</v>
      </c>
      <c r="D227" t="s">
        <v>14</v>
      </c>
      <c r="E227" t="s">
        <v>15</v>
      </c>
      <c r="F227" t="s">
        <v>33</v>
      </c>
      <c r="G227">
        <v>13</v>
      </c>
      <c r="H227" s="3">
        <v>33</v>
      </c>
      <c r="I227" s="4">
        <v>0.1</v>
      </c>
      <c r="J227" s="3">
        <f>G227*H227*(1-I227)</f>
        <v>0</v>
      </c>
      <c r="K227" s="3">
        <f>G227*H227*0.65</f>
        <v>0</v>
      </c>
      <c r="L227" s="3">
        <f>J227-K227</f>
        <v>0</v>
      </c>
    </row>
    <row r="228" spans="1:12">
      <c r="A228" t="s">
        <v>291</v>
      </c>
      <c r="B228" s="2">
        <v>45124</v>
      </c>
      <c r="C228" t="s">
        <v>13</v>
      </c>
      <c r="D228" t="s">
        <v>19</v>
      </c>
      <c r="E228" t="s">
        <v>20</v>
      </c>
      <c r="F228" t="s">
        <v>49</v>
      </c>
      <c r="G228">
        <v>3</v>
      </c>
      <c r="H228" s="3">
        <v>912</v>
      </c>
      <c r="I228" s="4">
        <v>0.15</v>
      </c>
      <c r="J228" s="3">
        <f>G228*H228*(1-I228)</f>
        <v>0</v>
      </c>
      <c r="K228" s="3">
        <f>G228*H228*0.65</f>
        <v>0</v>
      </c>
      <c r="L228" s="3">
        <f>J228-K228</f>
        <v>0</v>
      </c>
    </row>
    <row r="229" spans="1:12">
      <c r="A229" t="s">
        <v>292</v>
      </c>
      <c r="B229" s="2">
        <v>44999</v>
      </c>
      <c r="C229" t="s">
        <v>55</v>
      </c>
      <c r="D229" t="s">
        <v>14</v>
      </c>
      <c r="E229" t="s">
        <v>27</v>
      </c>
      <c r="F229" t="s">
        <v>28</v>
      </c>
      <c r="G229">
        <v>11</v>
      </c>
      <c r="H229" s="3">
        <v>138</v>
      </c>
      <c r="I229" s="4">
        <v>0.1</v>
      </c>
      <c r="J229" s="3">
        <f>G229*H229*(1-I229)</f>
        <v>0</v>
      </c>
      <c r="K229" s="3">
        <f>G229*H229*0.65</f>
        <v>0</v>
      </c>
      <c r="L229" s="3">
        <f>J229-K229</f>
        <v>0</v>
      </c>
    </row>
    <row r="230" spans="1:12">
      <c r="A230" t="s">
        <v>293</v>
      </c>
      <c r="B230" s="2">
        <v>44588</v>
      </c>
      <c r="C230" t="s">
        <v>55</v>
      </c>
      <c r="D230" t="s">
        <v>14</v>
      </c>
      <c r="E230" t="s">
        <v>15</v>
      </c>
      <c r="F230" t="s">
        <v>16</v>
      </c>
      <c r="G230">
        <v>2</v>
      </c>
      <c r="H230" s="3">
        <v>22</v>
      </c>
      <c r="I230" s="4">
        <v>0.1</v>
      </c>
      <c r="J230" s="3">
        <f>G230*H230*(1-I230)</f>
        <v>0</v>
      </c>
      <c r="K230" s="3">
        <f>G230*H230*0.65</f>
        <v>0</v>
      </c>
      <c r="L230" s="3">
        <f>J230-K230</f>
        <v>0</v>
      </c>
    </row>
    <row r="231" spans="1:12">
      <c r="A231" t="s">
        <v>294</v>
      </c>
      <c r="B231" s="2">
        <v>44787</v>
      </c>
      <c r="C231" t="s">
        <v>35</v>
      </c>
      <c r="D231" t="s">
        <v>19</v>
      </c>
      <c r="E231" t="s">
        <v>20</v>
      </c>
      <c r="F231" t="s">
        <v>51</v>
      </c>
      <c r="G231">
        <v>11</v>
      </c>
      <c r="H231" s="3">
        <v>98</v>
      </c>
      <c r="I231" s="4">
        <v>0.05</v>
      </c>
      <c r="J231" s="3">
        <f>G231*H231*(1-I231)</f>
        <v>0</v>
      </c>
      <c r="K231" s="3">
        <f>G231*H231*0.65</f>
        <v>0</v>
      </c>
      <c r="L231" s="3">
        <f>J231-K231</f>
        <v>0</v>
      </c>
    </row>
    <row r="232" spans="1:12">
      <c r="A232" t="s">
        <v>295</v>
      </c>
      <c r="B232" s="2">
        <v>45359</v>
      </c>
      <c r="C232" t="s">
        <v>13</v>
      </c>
      <c r="D232" t="s">
        <v>19</v>
      </c>
      <c r="E232" t="s">
        <v>30</v>
      </c>
      <c r="F232" t="s">
        <v>39</v>
      </c>
      <c r="G232">
        <v>8</v>
      </c>
      <c r="H232" s="3">
        <v>59</v>
      </c>
      <c r="I232" s="4">
        <v>0.1</v>
      </c>
      <c r="J232" s="3">
        <f>G232*H232*(1-I232)</f>
        <v>0</v>
      </c>
      <c r="K232" s="3">
        <f>G232*H232*0.65</f>
        <v>0</v>
      </c>
      <c r="L232" s="3">
        <f>J232-K232</f>
        <v>0</v>
      </c>
    </row>
    <row r="233" spans="1:12">
      <c r="A233" t="s">
        <v>296</v>
      </c>
      <c r="B233" s="2">
        <v>44845</v>
      </c>
      <c r="C233" t="s">
        <v>18</v>
      </c>
      <c r="D233" t="s">
        <v>14</v>
      </c>
      <c r="E233" t="s">
        <v>27</v>
      </c>
      <c r="F233" t="s">
        <v>28</v>
      </c>
      <c r="G233">
        <v>6</v>
      </c>
      <c r="H233" s="3">
        <v>149</v>
      </c>
      <c r="I233" s="4">
        <v>0.1</v>
      </c>
      <c r="J233" s="3">
        <f>G233*H233*(1-I233)</f>
        <v>0</v>
      </c>
      <c r="K233" s="3">
        <f>G233*H233*0.65</f>
        <v>0</v>
      </c>
      <c r="L233" s="3">
        <f>J233-K233</f>
        <v>0</v>
      </c>
    </row>
    <row r="234" spans="1:12">
      <c r="A234" t="s">
        <v>297</v>
      </c>
      <c r="B234" s="2">
        <v>45440</v>
      </c>
      <c r="C234" t="s">
        <v>43</v>
      </c>
      <c r="D234" t="s">
        <v>19</v>
      </c>
      <c r="E234" t="s">
        <v>30</v>
      </c>
      <c r="F234" t="s">
        <v>39</v>
      </c>
      <c r="G234">
        <v>1</v>
      </c>
      <c r="H234" s="3">
        <v>117</v>
      </c>
      <c r="I234" s="4">
        <v>0</v>
      </c>
      <c r="J234" s="3">
        <f>G234*H234*(1-I234)</f>
        <v>0</v>
      </c>
      <c r="K234" s="3">
        <f>G234*H234*0.65</f>
        <v>0</v>
      </c>
      <c r="L234" s="3">
        <f>J234-K234</f>
        <v>0</v>
      </c>
    </row>
    <row r="235" spans="1:12">
      <c r="A235" t="s">
        <v>298</v>
      </c>
      <c r="B235" s="2">
        <v>45521</v>
      </c>
      <c r="C235" t="s">
        <v>35</v>
      </c>
      <c r="D235" t="s">
        <v>23</v>
      </c>
      <c r="E235" t="s">
        <v>36</v>
      </c>
      <c r="F235" t="s">
        <v>41</v>
      </c>
      <c r="G235">
        <v>12</v>
      </c>
      <c r="H235" s="3">
        <v>88</v>
      </c>
      <c r="I235" s="4">
        <v>0.05</v>
      </c>
      <c r="J235" s="3">
        <f>G235*H235*(1-I235)</f>
        <v>0</v>
      </c>
      <c r="K235" s="3">
        <f>G235*H235*0.65</f>
        <v>0</v>
      </c>
      <c r="L235" s="3">
        <f>J235-K235</f>
        <v>0</v>
      </c>
    </row>
    <row r="236" spans="1:12">
      <c r="A236" t="s">
        <v>299</v>
      </c>
      <c r="B236" s="2">
        <v>45014</v>
      </c>
      <c r="C236" t="s">
        <v>55</v>
      </c>
      <c r="D236" t="s">
        <v>23</v>
      </c>
      <c r="E236" t="s">
        <v>36</v>
      </c>
      <c r="F236" t="s">
        <v>76</v>
      </c>
      <c r="G236">
        <v>1</v>
      </c>
      <c r="H236" s="3">
        <v>96</v>
      </c>
      <c r="I236" s="4">
        <v>0.1</v>
      </c>
      <c r="J236" s="3">
        <f>G236*H236*(1-I236)</f>
        <v>0</v>
      </c>
      <c r="K236" s="3">
        <f>G236*H236*0.65</f>
        <v>0</v>
      </c>
      <c r="L236" s="3">
        <f>J236-K236</f>
        <v>0</v>
      </c>
    </row>
    <row r="237" spans="1:12">
      <c r="A237" t="s">
        <v>300</v>
      </c>
      <c r="B237" s="2">
        <v>45581</v>
      </c>
      <c r="C237" t="s">
        <v>18</v>
      </c>
      <c r="D237" t="s">
        <v>19</v>
      </c>
      <c r="E237" t="s">
        <v>20</v>
      </c>
      <c r="F237" t="s">
        <v>51</v>
      </c>
      <c r="G237">
        <v>7</v>
      </c>
      <c r="H237" s="3">
        <v>104</v>
      </c>
      <c r="I237" s="4">
        <v>0</v>
      </c>
      <c r="J237" s="3">
        <f>G237*H237*(1-I237)</f>
        <v>0</v>
      </c>
      <c r="K237" s="3">
        <f>G237*H237*0.65</f>
        <v>0</v>
      </c>
      <c r="L237" s="3">
        <f>J237-K237</f>
        <v>0</v>
      </c>
    </row>
    <row r="238" spans="1:12">
      <c r="A238" t="s">
        <v>301</v>
      </c>
      <c r="B238" s="2">
        <v>45377</v>
      </c>
      <c r="C238" t="s">
        <v>18</v>
      </c>
      <c r="D238" t="s">
        <v>14</v>
      </c>
      <c r="E238" t="s">
        <v>15</v>
      </c>
      <c r="F238" t="s">
        <v>80</v>
      </c>
      <c r="G238">
        <v>8</v>
      </c>
      <c r="H238" s="3">
        <v>74</v>
      </c>
      <c r="I238" s="4">
        <v>0.1</v>
      </c>
      <c r="J238" s="3">
        <f>G238*H238*(1-I238)</f>
        <v>0</v>
      </c>
      <c r="K238" s="3">
        <f>G238*H238*0.65</f>
        <v>0</v>
      </c>
      <c r="L238" s="3">
        <f>J238-K238</f>
        <v>0</v>
      </c>
    </row>
    <row r="239" spans="1:12">
      <c r="A239" t="s">
        <v>302</v>
      </c>
      <c r="B239" s="2">
        <v>45220</v>
      </c>
      <c r="C239" t="s">
        <v>43</v>
      </c>
      <c r="D239" t="s">
        <v>19</v>
      </c>
      <c r="E239" t="s">
        <v>45</v>
      </c>
      <c r="F239" t="s">
        <v>99</v>
      </c>
      <c r="G239">
        <v>5</v>
      </c>
      <c r="H239" s="3">
        <v>33</v>
      </c>
      <c r="I239" s="4">
        <v>0</v>
      </c>
      <c r="J239" s="3">
        <f>G239*H239*(1-I239)</f>
        <v>0</v>
      </c>
      <c r="K239" s="3">
        <f>G239*H239*0.65</f>
        <v>0</v>
      </c>
      <c r="L239" s="3">
        <f>J239-K239</f>
        <v>0</v>
      </c>
    </row>
    <row r="240" spans="1:12">
      <c r="A240" t="s">
        <v>303</v>
      </c>
      <c r="B240" s="2">
        <v>45108</v>
      </c>
      <c r="C240" t="s">
        <v>55</v>
      </c>
      <c r="D240" t="s">
        <v>19</v>
      </c>
      <c r="E240" t="s">
        <v>20</v>
      </c>
      <c r="F240" t="s">
        <v>172</v>
      </c>
      <c r="G240">
        <v>12</v>
      </c>
      <c r="H240" s="3">
        <v>853</v>
      </c>
      <c r="I240" s="4">
        <v>0.05</v>
      </c>
      <c r="J240" s="3">
        <f>G240*H240*(1-I240)</f>
        <v>0</v>
      </c>
      <c r="K240" s="3">
        <f>G240*H240*0.65</f>
        <v>0</v>
      </c>
      <c r="L240" s="3">
        <f>J240-K240</f>
        <v>0</v>
      </c>
    </row>
    <row r="241" spans="1:12">
      <c r="A241" t="s">
        <v>304</v>
      </c>
      <c r="B241" s="2">
        <v>45634</v>
      </c>
      <c r="C241" t="s">
        <v>13</v>
      </c>
      <c r="D241" t="s">
        <v>14</v>
      </c>
      <c r="E241" t="s">
        <v>27</v>
      </c>
      <c r="F241" t="s">
        <v>28</v>
      </c>
      <c r="G241">
        <v>11</v>
      </c>
      <c r="H241" s="3">
        <v>56</v>
      </c>
      <c r="I241" s="4">
        <v>0.1</v>
      </c>
      <c r="J241" s="3">
        <f>G241*H241*(1-I241)</f>
        <v>0</v>
      </c>
      <c r="K241" s="3">
        <f>G241*H241*0.65</f>
        <v>0</v>
      </c>
      <c r="L241" s="3">
        <f>J241-K241</f>
        <v>0</v>
      </c>
    </row>
    <row r="242" spans="1:12">
      <c r="A242" t="s">
        <v>305</v>
      </c>
      <c r="B242" s="2">
        <v>44578</v>
      </c>
      <c r="C242" t="s">
        <v>18</v>
      </c>
      <c r="D242" t="s">
        <v>14</v>
      </c>
      <c r="E242" t="s">
        <v>57</v>
      </c>
      <c r="F242" t="s">
        <v>121</v>
      </c>
      <c r="G242">
        <v>5</v>
      </c>
      <c r="H242" s="3">
        <v>75</v>
      </c>
      <c r="I242" s="4">
        <v>0</v>
      </c>
      <c r="J242" s="3">
        <f>G242*H242*(1-I242)</f>
        <v>0</v>
      </c>
      <c r="K242" s="3">
        <f>G242*H242*0.65</f>
        <v>0</v>
      </c>
      <c r="L242" s="3">
        <f>J242-K242</f>
        <v>0</v>
      </c>
    </row>
    <row r="243" spans="1:12">
      <c r="A243" t="s">
        <v>306</v>
      </c>
      <c r="B243" s="2">
        <v>44719</v>
      </c>
      <c r="C243" t="s">
        <v>43</v>
      </c>
      <c r="D243" t="s">
        <v>23</v>
      </c>
      <c r="E243" t="s">
        <v>68</v>
      </c>
      <c r="F243" t="s">
        <v>69</v>
      </c>
      <c r="G243">
        <v>4</v>
      </c>
      <c r="H243" s="3">
        <v>147</v>
      </c>
      <c r="I243" s="4">
        <v>0</v>
      </c>
      <c r="J243" s="3">
        <f>G243*H243*(1-I243)</f>
        <v>0</v>
      </c>
      <c r="K243" s="3">
        <f>G243*H243*0.65</f>
        <v>0</v>
      </c>
      <c r="L243" s="3">
        <f>J243-K243</f>
        <v>0</v>
      </c>
    </row>
    <row r="244" spans="1:12">
      <c r="A244" t="s">
        <v>307</v>
      </c>
      <c r="B244" s="2">
        <v>45038</v>
      </c>
      <c r="C244" t="s">
        <v>13</v>
      </c>
      <c r="D244" t="s">
        <v>14</v>
      </c>
      <c r="E244" t="s">
        <v>57</v>
      </c>
      <c r="F244" t="s">
        <v>58</v>
      </c>
      <c r="G244">
        <v>14</v>
      </c>
      <c r="H244" s="3">
        <v>136</v>
      </c>
      <c r="I244" s="4">
        <v>0.05</v>
      </c>
      <c r="J244" s="3">
        <f>G244*H244*(1-I244)</f>
        <v>0</v>
      </c>
      <c r="K244" s="3">
        <f>G244*H244*0.65</f>
        <v>0</v>
      </c>
      <c r="L244" s="3">
        <f>J244-K244</f>
        <v>0</v>
      </c>
    </row>
    <row r="245" spans="1:12">
      <c r="A245" t="s">
        <v>308</v>
      </c>
      <c r="B245" s="2">
        <v>45631</v>
      </c>
      <c r="C245" t="s">
        <v>55</v>
      </c>
      <c r="D245" t="s">
        <v>23</v>
      </c>
      <c r="E245" t="s">
        <v>36</v>
      </c>
      <c r="F245" t="s">
        <v>41</v>
      </c>
      <c r="G245">
        <v>6</v>
      </c>
      <c r="H245" s="3">
        <v>93</v>
      </c>
      <c r="I245" s="4">
        <v>0.1</v>
      </c>
      <c r="J245" s="3">
        <f>G245*H245*(1-I245)</f>
        <v>0</v>
      </c>
      <c r="K245" s="3">
        <f>G245*H245*0.65</f>
        <v>0</v>
      </c>
      <c r="L245" s="3">
        <f>J245-K245</f>
        <v>0</v>
      </c>
    </row>
    <row r="246" spans="1:12">
      <c r="A246" t="s">
        <v>309</v>
      </c>
      <c r="B246" s="2">
        <v>45079</v>
      </c>
      <c r="C246" t="s">
        <v>18</v>
      </c>
      <c r="D246" t="s">
        <v>14</v>
      </c>
      <c r="E246" t="s">
        <v>57</v>
      </c>
      <c r="F246" t="s">
        <v>65</v>
      </c>
      <c r="G246">
        <v>14</v>
      </c>
      <c r="H246" s="3">
        <v>120</v>
      </c>
      <c r="I246" s="4">
        <v>0</v>
      </c>
      <c r="J246" s="3">
        <f>G246*H246*(1-I246)</f>
        <v>0</v>
      </c>
      <c r="K246" s="3">
        <f>G246*H246*0.65</f>
        <v>0</v>
      </c>
      <c r="L246" s="3">
        <f>J246-K246</f>
        <v>0</v>
      </c>
    </row>
    <row r="247" spans="1:12">
      <c r="A247" t="s">
        <v>310</v>
      </c>
      <c r="B247" s="2">
        <v>44660</v>
      </c>
      <c r="C247" t="s">
        <v>13</v>
      </c>
      <c r="D247" t="s">
        <v>19</v>
      </c>
      <c r="E247" t="s">
        <v>20</v>
      </c>
      <c r="F247" t="s">
        <v>51</v>
      </c>
      <c r="G247">
        <v>6</v>
      </c>
      <c r="H247" s="3">
        <v>135</v>
      </c>
      <c r="I247" s="4">
        <v>0.15</v>
      </c>
      <c r="J247" s="3">
        <f>G247*H247*(1-I247)</f>
        <v>0</v>
      </c>
      <c r="K247" s="3">
        <f>G247*H247*0.65</f>
        <v>0</v>
      </c>
      <c r="L247" s="3">
        <f>J247-K247</f>
        <v>0</v>
      </c>
    </row>
    <row r="248" spans="1:12">
      <c r="A248" t="s">
        <v>311</v>
      </c>
      <c r="B248" s="2">
        <v>45622</v>
      </c>
      <c r="C248" t="s">
        <v>13</v>
      </c>
      <c r="D248" t="s">
        <v>23</v>
      </c>
      <c r="E248" t="s">
        <v>68</v>
      </c>
      <c r="F248" t="s">
        <v>93</v>
      </c>
      <c r="G248">
        <v>3</v>
      </c>
      <c r="H248" s="3">
        <v>200</v>
      </c>
      <c r="I248" s="4">
        <v>0</v>
      </c>
      <c r="J248" s="3">
        <f>G248*H248*(1-I248)</f>
        <v>0</v>
      </c>
      <c r="K248" s="3">
        <f>G248*H248*0.65</f>
        <v>0</v>
      </c>
      <c r="L248" s="3">
        <f>J248-K248</f>
        <v>0</v>
      </c>
    </row>
    <row r="249" spans="1:12">
      <c r="A249" t="s">
        <v>312</v>
      </c>
      <c r="B249" s="2">
        <v>44841</v>
      </c>
      <c r="C249" t="s">
        <v>13</v>
      </c>
      <c r="D249" t="s">
        <v>23</v>
      </c>
      <c r="E249" t="s">
        <v>68</v>
      </c>
      <c r="F249" t="s">
        <v>69</v>
      </c>
      <c r="G249">
        <v>9</v>
      </c>
      <c r="H249" s="3">
        <v>79</v>
      </c>
      <c r="I249" s="4">
        <v>0.15</v>
      </c>
      <c r="J249" s="3">
        <f>G249*H249*(1-I249)</f>
        <v>0</v>
      </c>
      <c r="K249" s="3">
        <f>G249*H249*0.65</f>
        <v>0</v>
      </c>
      <c r="L249" s="3">
        <f>J249-K249</f>
        <v>0</v>
      </c>
    </row>
    <row r="250" spans="1:12">
      <c r="A250" t="s">
        <v>313</v>
      </c>
      <c r="B250" s="2">
        <v>45058</v>
      </c>
      <c r="C250" t="s">
        <v>18</v>
      </c>
      <c r="D250" t="s">
        <v>23</v>
      </c>
      <c r="E250" t="s">
        <v>24</v>
      </c>
      <c r="F250" t="s">
        <v>25</v>
      </c>
      <c r="G250">
        <v>12</v>
      </c>
      <c r="H250" s="3">
        <v>35</v>
      </c>
      <c r="I250" s="4">
        <v>0.15</v>
      </c>
      <c r="J250" s="3">
        <f>G250*H250*(1-I250)</f>
        <v>0</v>
      </c>
      <c r="K250" s="3">
        <f>G250*H250*0.65</f>
        <v>0</v>
      </c>
      <c r="L250" s="3">
        <f>J250-K250</f>
        <v>0</v>
      </c>
    </row>
    <row r="251" spans="1:12">
      <c r="A251" t="s">
        <v>314</v>
      </c>
      <c r="B251" s="2">
        <v>44863</v>
      </c>
      <c r="C251" t="s">
        <v>18</v>
      </c>
      <c r="D251" t="s">
        <v>19</v>
      </c>
      <c r="E251" t="s">
        <v>45</v>
      </c>
      <c r="F251" t="s">
        <v>46</v>
      </c>
      <c r="G251">
        <v>11</v>
      </c>
      <c r="H251" s="3">
        <v>88</v>
      </c>
      <c r="I251" s="4">
        <v>0.05</v>
      </c>
      <c r="J251" s="3">
        <f>G251*H251*(1-I251)</f>
        <v>0</v>
      </c>
      <c r="K251" s="3">
        <f>G251*H251*0.65</f>
        <v>0</v>
      </c>
      <c r="L251" s="3">
        <f>J251-K251</f>
        <v>0</v>
      </c>
    </row>
    <row r="252" spans="1:12">
      <c r="A252" t="s">
        <v>315</v>
      </c>
      <c r="B252" s="2">
        <v>44742</v>
      </c>
      <c r="C252" t="s">
        <v>35</v>
      </c>
      <c r="D252" t="s">
        <v>19</v>
      </c>
      <c r="E252" t="s">
        <v>20</v>
      </c>
      <c r="F252" t="s">
        <v>172</v>
      </c>
      <c r="G252">
        <v>14</v>
      </c>
      <c r="H252" s="3">
        <v>824</v>
      </c>
      <c r="I252" s="4">
        <v>0.05</v>
      </c>
      <c r="J252" s="3">
        <f>G252*H252*(1-I252)</f>
        <v>0</v>
      </c>
      <c r="K252" s="3">
        <f>G252*H252*0.65</f>
        <v>0</v>
      </c>
      <c r="L252" s="3">
        <f>J252-K252</f>
        <v>0</v>
      </c>
    </row>
    <row r="253" spans="1:12">
      <c r="A253" t="s">
        <v>316</v>
      </c>
      <c r="B253" s="2">
        <v>45168</v>
      </c>
      <c r="C253" t="s">
        <v>55</v>
      </c>
      <c r="D253" t="s">
        <v>19</v>
      </c>
      <c r="E253" t="s">
        <v>20</v>
      </c>
      <c r="F253" t="s">
        <v>49</v>
      </c>
      <c r="G253">
        <v>7</v>
      </c>
      <c r="H253" s="3">
        <v>1198</v>
      </c>
      <c r="I253" s="4">
        <v>0.05</v>
      </c>
      <c r="J253" s="3">
        <f>G253*H253*(1-I253)</f>
        <v>0</v>
      </c>
      <c r="K253" s="3">
        <f>G253*H253*0.65</f>
        <v>0</v>
      </c>
      <c r="L253" s="3">
        <f>J253-K253</f>
        <v>0</v>
      </c>
    </row>
    <row r="254" spans="1:12">
      <c r="A254" t="s">
        <v>317</v>
      </c>
      <c r="B254" s="2">
        <v>45261</v>
      </c>
      <c r="C254" t="s">
        <v>43</v>
      </c>
      <c r="D254" t="s">
        <v>19</v>
      </c>
      <c r="E254" t="s">
        <v>45</v>
      </c>
      <c r="F254" t="s">
        <v>46</v>
      </c>
      <c r="G254">
        <v>1</v>
      </c>
      <c r="H254" s="3">
        <v>146</v>
      </c>
      <c r="I254" s="4">
        <v>0.05</v>
      </c>
      <c r="J254" s="3">
        <f>G254*H254*(1-I254)</f>
        <v>0</v>
      </c>
      <c r="K254" s="3">
        <f>G254*H254*0.65</f>
        <v>0</v>
      </c>
      <c r="L254" s="3">
        <f>J254-K254</f>
        <v>0</v>
      </c>
    </row>
    <row r="255" spans="1:12">
      <c r="A255" t="s">
        <v>318</v>
      </c>
      <c r="B255" s="2">
        <v>45554</v>
      </c>
      <c r="C255" t="s">
        <v>13</v>
      </c>
      <c r="D255" t="s">
        <v>19</v>
      </c>
      <c r="E255" t="s">
        <v>30</v>
      </c>
      <c r="F255" t="s">
        <v>39</v>
      </c>
      <c r="G255">
        <v>13</v>
      </c>
      <c r="H255" s="3">
        <v>59</v>
      </c>
      <c r="I255" s="4">
        <v>0</v>
      </c>
      <c r="J255" s="3">
        <f>G255*H255*(1-I255)</f>
        <v>0</v>
      </c>
      <c r="K255" s="3">
        <f>G255*H255*0.65</f>
        <v>0</v>
      </c>
      <c r="L255" s="3">
        <f>J255-K255</f>
        <v>0</v>
      </c>
    </row>
    <row r="256" spans="1:12">
      <c r="A256" t="s">
        <v>319</v>
      </c>
      <c r="B256" s="2">
        <v>44752</v>
      </c>
      <c r="C256" t="s">
        <v>35</v>
      </c>
      <c r="D256" t="s">
        <v>23</v>
      </c>
      <c r="E256" t="s">
        <v>24</v>
      </c>
      <c r="F256" t="s">
        <v>147</v>
      </c>
      <c r="G256">
        <v>7</v>
      </c>
      <c r="H256" s="3">
        <v>71</v>
      </c>
      <c r="I256" s="4">
        <v>0</v>
      </c>
      <c r="J256" s="3">
        <f>G256*H256*(1-I256)</f>
        <v>0</v>
      </c>
      <c r="K256" s="3">
        <f>G256*H256*0.65</f>
        <v>0</v>
      </c>
      <c r="L256" s="3">
        <f>J256-K256</f>
        <v>0</v>
      </c>
    </row>
    <row r="257" spans="1:12">
      <c r="A257" t="s">
        <v>320</v>
      </c>
      <c r="B257" s="2">
        <v>44814</v>
      </c>
      <c r="C257" t="s">
        <v>43</v>
      </c>
      <c r="D257" t="s">
        <v>19</v>
      </c>
      <c r="E257" t="s">
        <v>20</v>
      </c>
      <c r="F257" t="s">
        <v>49</v>
      </c>
      <c r="G257">
        <v>5</v>
      </c>
      <c r="H257" s="3">
        <v>921</v>
      </c>
      <c r="I257" s="4">
        <v>0</v>
      </c>
      <c r="J257" s="3">
        <f>G257*H257*(1-I257)</f>
        <v>0</v>
      </c>
      <c r="K257" s="3">
        <f>G257*H257*0.65</f>
        <v>0</v>
      </c>
      <c r="L257" s="3">
        <f>J257-K257</f>
        <v>0</v>
      </c>
    </row>
    <row r="258" spans="1:12">
      <c r="A258" t="s">
        <v>321</v>
      </c>
      <c r="B258" s="2">
        <v>45542</v>
      </c>
      <c r="C258" t="s">
        <v>35</v>
      </c>
      <c r="D258" t="s">
        <v>23</v>
      </c>
      <c r="E258" t="s">
        <v>24</v>
      </c>
      <c r="F258" t="s">
        <v>147</v>
      </c>
      <c r="G258">
        <v>5</v>
      </c>
      <c r="H258" s="3">
        <v>66</v>
      </c>
      <c r="I258" s="4">
        <v>0.05</v>
      </c>
      <c r="J258" s="3">
        <f>G258*H258*(1-I258)</f>
        <v>0</v>
      </c>
      <c r="K258" s="3">
        <f>G258*H258*0.65</f>
        <v>0</v>
      </c>
      <c r="L258" s="3">
        <f>J258-K258</f>
        <v>0</v>
      </c>
    </row>
    <row r="259" spans="1:12">
      <c r="A259" t="s">
        <v>322</v>
      </c>
      <c r="B259" s="2">
        <v>45489</v>
      </c>
      <c r="C259" t="s">
        <v>18</v>
      </c>
      <c r="D259" t="s">
        <v>19</v>
      </c>
      <c r="E259" t="s">
        <v>45</v>
      </c>
      <c r="F259" t="s">
        <v>46</v>
      </c>
      <c r="G259">
        <v>14</v>
      </c>
      <c r="H259" s="3">
        <v>71</v>
      </c>
      <c r="I259" s="4">
        <v>0</v>
      </c>
      <c r="J259" s="3">
        <f>G259*H259*(1-I259)</f>
        <v>0</v>
      </c>
      <c r="K259" s="3">
        <f>G259*H259*0.65</f>
        <v>0</v>
      </c>
      <c r="L259" s="3">
        <f>J259-K259</f>
        <v>0</v>
      </c>
    </row>
    <row r="260" spans="1:12">
      <c r="A260" t="s">
        <v>323</v>
      </c>
      <c r="B260" s="2">
        <v>44689</v>
      </c>
      <c r="C260" t="s">
        <v>13</v>
      </c>
      <c r="D260" t="s">
        <v>14</v>
      </c>
      <c r="E260" t="s">
        <v>57</v>
      </c>
      <c r="F260" t="s">
        <v>149</v>
      </c>
      <c r="G260">
        <v>13</v>
      </c>
      <c r="H260" s="3">
        <v>9</v>
      </c>
      <c r="I260" s="4">
        <v>0.05</v>
      </c>
      <c r="J260" s="3">
        <f>G260*H260*(1-I260)</f>
        <v>0</v>
      </c>
      <c r="K260" s="3">
        <f>G260*H260*0.65</f>
        <v>0</v>
      </c>
      <c r="L260" s="3">
        <f>J260-K260</f>
        <v>0</v>
      </c>
    </row>
    <row r="261" spans="1:12">
      <c r="A261" t="s">
        <v>324</v>
      </c>
      <c r="B261" s="2">
        <v>44579</v>
      </c>
      <c r="C261" t="s">
        <v>43</v>
      </c>
      <c r="D261" t="s">
        <v>23</v>
      </c>
      <c r="E261" t="s">
        <v>68</v>
      </c>
      <c r="F261" t="s">
        <v>93</v>
      </c>
      <c r="G261">
        <v>2</v>
      </c>
      <c r="H261" s="3">
        <v>184</v>
      </c>
      <c r="I261" s="4">
        <v>0.15</v>
      </c>
      <c r="J261" s="3">
        <f>G261*H261*(1-I261)</f>
        <v>0</v>
      </c>
      <c r="K261" s="3">
        <f>G261*H261*0.65</f>
        <v>0</v>
      </c>
      <c r="L261" s="3">
        <f>J261-K261</f>
        <v>0</v>
      </c>
    </row>
    <row r="262" spans="1:12">
      <c r="A262" t="s">
        <v>325</v>
      </c>
      <c r="B262" s="2">
        <v>45127</v>
      </c>
      <c r="C262" t="s">
        <v>43</v>
      </c>
      <c r="D262" t="s">
        <v>14</v>
      </c>
      <c r="E262" t="s">
        <v>57</v>
      </c>
      <c r="F262" t="s">
        <v>149</v>
      </c>
      <c r="G262">
        <v>4</v>
      </c>
      <c r="H262" s="3">
        <v>10</v>
      </c>
      <c r="I262" s="4">
        <v>0</v>
      </c>
      <c r="J262" s="3">
        <f>G262*H262*(1-I262)</f>
        <v>0</v>
      </c>
      <c r="K262" s="3">
        <f>G262*H262*0.65</f>
        <v>0</v>
      </c>
      <c r="L262" s="3">
        <f>J262-K262</f>
        <v>0</v>
      </c>
    </row>
    <row r="263" spans="1:12">
      <c r="A263" t="s">
        <v>326</v>
      </c>
      <c r="B263" s="2">
        <v>45131</v>
      </c>
      <c r="C263" t="s">
        <v>43</v>
      </c>
      <c r="D263" t="s">
        <v>23</v>
      </c>
      <c r="E263" t="s">
        <v>36</v>
      </c>
      <c r="F263" t="s">
        <v>74</v>
      </c>
      <c r="G263">
        <v>12</v>
      </c>
      <c r="H263" s="3">
        <v>345</v>
      </c>
      <c r="I263" s="4">
        <v>0.05</v>
      </c>
      <c r="J263" s="3">
        <f>G263*H263*(1-I263)</f>
        <v>0</v>
      </c>
      <c r="K263" s="3">
        <f>G263*H263*0.65</f>
        <v>0</v>
      </c>
      <c r="L263" s="3">
        <f>J263-K263</f>
        <v>0</v>
      </c>
    </row>
    <row r="264" spans="1:12">
      <c r="A264" t="s">
        <v>327</v>
      </c>
      <c r="B264" s="2">
        <v>45247</v>
      </c>
      <c r="C264" t="s">
        <v>43</v>
      </c>
      <c r="D264" t="s">
        <v>14</v>
      </c>
      <c r="E264" t="s">
        <v>57</v>
      </c>
      <c r="F264" t="s">
        <v>65</v>
      </c>
      <c r="G264">
        <v>6</v>
      </c>
      <c r="H264" s="3">
        <v>47</v>
      </c>
      <c r="I264" s="4">
        <v>0.05</v>
      </c>
      <c r="J264" s="3">
        <f>G264*H264*(1-I264)</f>
        <v>0</v>
      </c>
      <c r="K264" s="3">
        <f>G264*H264*0.65</f>
        <v>0</v>
      </c>
      <c r="L264" s="3">
        <f>J264-K264</f>
        <v>0</v>
      </c>
    </row>
    <row r="265" spans="1:12">
      <c r="A265" t="s">
        <v>328</v>
      </c>
      <c r="B265" s="2">
        <v>45187</v>
      </c>
      <c r="C265" t="s">
        <v>43</v>
      </c>
      <c r="D265" t="s">
        <v>19</v>
      </c>
      <c r="E265" t="s">
        <v>45</v>
      </c>
      <c r="F265" t="s">
        <v>46</v>
      </c>
      <c r="G265">
        <v>10</v>
      </c>
      <c r="H265" s="3">
        <v>102</v>
      </c>
      <c r="I265" s="4">
        <v>0.1</v>
      </c>
      <c r="J265" s="3">
        <f>G265*H265*(1-I265)</f>
        <v>0</v>
      </c>
      <c r="K265" s="3">
        <f>G265*H265*0.65</f>
        <v>0</v>
      </c>
      <c r="L265" s="3">
        <f>J265-K265</f>
        <v>0</v>
      </c>
    </row>
    <row r="266" spans="1:12">
      <c r="A266" t="s">
        <v>329</v>
      </c>
      <c r="B266" s="2">
        <v>45415</v>
      </c>
      <c r="C266" t="s">
        <v>35</v>
      </c>
      <c r="D266" t="s">
        <v>19</v>
      </c>
      <c r="E266" t="s">
        <v>30</v>
      </c>
      <c r="F266" t="s">
        <v>130</v>
      </c>
      <c r="G266">
        <v>11</v>
      </c>
      <c r="H266" s="3">
        <v>1168</v>
      </c>
      <c r="I266" s="4">
        <v>0.15</v>
      </c>
      <c r="J266" s="3">
        <f>G266*H266*(1-I266)</f>
        <v>0</v>
      </c>
      <c r="K266" s="3">
        <f>G266*H266*0.65</f>
        <v>0</v>
      </c>
      <c r="L266" s="3">
        <f>J266-K266</f>
        <v>0</v>
      </c>
    </row>
    <row r="267" spans="1:12">
      <c r="A267" t="s">
        <v>330</v>
      </c>
      <c r="B267" s="2">
        <v>45523</v>
      </c>
      <c r="C267" t="s">
        <v>13</v>
      </c>
      <c r="D267" t="s">
        <v>19</v>
      </c>
      <c r="E267" t="s">
        <v>20</v>
      </c>
      <c r="F267" t="s">
        <v>51</v>
      </c>
      <c r="G267">
        <v>7</v>
      </c>
      <c r="H267" s="3">
        <v>58</v>
      </c>
      <c r="I267" s="4">
        <v>0.1</v>
      </c>
      <c r="J267" s="3">
        <f>G267*H267*(1-I267)</f>
        <v>0</v>
      </c>
      <c r="K267" s="3">
        <f>G267*H267*0.65</f>
        <v>0</v>
      </c>
      <c r="L267" s="3">
        <f>J267-K267</f>
        <v>0</v>
      </c>
    </row>
    <row r="268" spans="1:12">
      <c r="A268" t="s">
        <v>331</v>
      </c>
      <c r="B268" s="2">
        <v>44716</v>
      </c>
      <c r="C268" t="s">
        <v>18</v>
      </c>
      <c r="D268" t="s">
        <v>23</v>
      </c>
      <c r="E268" t="s">
        <v>36</v>
      </c>
      <c r="F268" t="s">
        <v>37</v>
      </c>
      <c r="G268">
        <v>11</v>
      </c>
      <c r="H268" s="3">
        <v>106</v>
      </c>
      <c r="I268" s="4">
        <v>0.15</v>
      </c>
      <c r="J268" s="3">
        <f>G268*H268*(1-I268)</f>
        <v>0</v>
      </c>
      <c r="K268" s="3">
        <f>G268*H268*0.65</f>
        <v>0</v>
      </c>
      <c r="L268" s="3">
        <f>J268-K268</f>
        <v>0</v>
      </c>
    </row>
    <row r="269" spans="1:12">
      <c r="A269" t="s">
        <v>332</v>
      </c>
      <c r="B269" s="2">
        <v>45051</v>
      </c>
      <c r="C269" t="s">
        <v>18</v>
      </c>
      <c r="D269" t="s">
        <v>14</v>
      </c>
      <c r="E269" t="s">
        <v>57</v>
      </c>
      <c r="F269" t="s">
        <v>65</v>
      </c>
      <c r="G269">
        <v>5</v>
      </c>
      <c r="H269" s="3">
        <v>88</v>
      </c>
      <c r="I269" s="4">
        <v>0</v>
      </c>
      <c r="J269" s="3">
        <f>G269*H269*(1-I269)</f>
        <v>0</v>
      </c>
      <c r="K269" s="3">
        <f>G269*H269*0.65</f>
        <v>0</v>
      </c>
      <c r="L269" s="3">
        <f>J269-K269</f>
        <v>0</v>
      </c>
    </row>
    <row r="270" spans="1:12">
      <c r="A270" t="s">
        <v>333</v>
      </c>
      <c r="B270" s="2">
        <v>45346</v>
      </c>
      <c r="C270" t="s">
        <v>18</v>
      </c>
      <c r="D270" t="s">
        <v>19</v>
      </c>
      <c r="E270" t="s">
        <v>30</v>
      </c>
      <c r="F270" t="s">
        <v>83</v>
      </c>
      <c r="G270">
        <v>9</v>
      </c>
      <c r="H270" s="3">
        <v>76</v>
      </c>
      <c r="I270" s="4">
        <v>0.1</v>
      </c>
      <c r="J270" s="3">
        <f>G270*H270*(1-I270)</f>
        <v>0</v>
      </c>
      <c r="K270" s="3">
        <f>G270*H270*0.65</f>
        <v>0</v>
      </c>
      <c r="L270" s="3">
        <f>J270-K270</f>
        <v>0</v>
      </c>
    </row>
    <row r="271" spans="1:12">
      <c r="A271" t="s">
        <v>334</v>
      </c>
      <c r="B271" s="2">
        <v>44807</v>
      </c>
      <c r="C271" t="s">
        <v>18</v>
      </c>
      <c r="D271" t="s">
        <v>14</v>
      </c>
      <c r="E271" t="s">
        <v>57</v>
      </c>
      <c r="F271" t="s">
        <v>149</v>
      </c>
      <c r="G271">
        <v>3</v>
      </c>
      <c r="H271" s="3">
        <v>24</v>
      </c>
      <c r="I271" s="4">
        <v>0.1</v>
      </c>
      <c r="J271" s="3">
        <f>G271*H271*(1-I271)</f>
        <v>0</v>
      </c>
      <c r="K271" s="3">
        <f>G271*H271*0.65</f>
        <v>0</v>
      </c>
      <c r="L271" s="3">
        <f>J271-K271</f>
        <v>0</v>
      </c>
    </row>
    <row r="272" spans="1:12">
      <c r="A272" t="s">
        <v>335</v>
      </c>
      <c r="B272" s="2">
        <v>45624</v>
      </c>
      <c r="C272" t="s">
        <v>35</v>
      </c>
      <c r="D272" t="s">
        <v>14</v>
      </c>
      <c r="E272" t="s">
        <v>57</v>
      </c>
      <c r="F272" t="s">
        <v>149</v>
      </c>
      <c r="G272">
        <v>1</v>
      </c>
      <c r="H272" s="3">
        <v>21</v>
      </c>
      <c r="I272" s="4">
        <v>0</v>
      </c>
      <c r="J272" s="3">
        <f>G272*H272*(1-I272)</f>
        <v>0</v>
      </c>
      <c r="K272" s="3">
        <f>G272*H272*0.65</f>
        <v>0</v>
      </c>
      <c r="L272" s="3">
        <f>J272-K272</f>
        <v>0</v>
      </c>
    </row>
    <row r="273" spans="1:12">
      <c r="A273" t="s">
        <v>336</v>
      </c>
      <c r="B273" s="2">
        <v>45320</v>
      </c>
      <c r="C273" t="s">
        <v>55</v>
      </c>
      <c r="D273" t="s">
        <v>19</v>
      </c>
      <c r="E273" t="s">
        <v>30</v>
      </c>
      <c r="F273" t="s">
        <v>31</v>
      </c>
      <c r="G273">
        <v>4</v>
      </c>
      <c r="H273" s="3">
        <v>808</v>
      </c>
      <c r="I273" s="4">
        <v>0.15</v>
      </c>
      <c r="J273" s="3">
        <f>G273*H273*(1-I273)</f>
        <v>0</v>
      </c>
      <c r="K273" s="3">
        <f>G273*H273*0.65</f>
        <v>0</v>
      </c>
      <c r="L273" s="3">
        <f>J273-K273</f>
        <v>0</v>
      </c>
    </row>
    <row r="274" spans="1:12">
      <c r="A274" t="s">
        <v>337</v>
      </c>
      <c r="B274" s="2">
        <v>45099</v>
      </c>
      <c r="C274" t="s">
        <v>13</v>
      </c>
      <c r="D274" t="s">
        <v>19</v>
      </c>
      <c r="E274" t="s">
        <v>45</v>
      </c>
      <c r="F274" t="s">
        <v>86</v>
      </c>
      <c r="G274">
        <v>9</v>
      </c>
      <c r="H274" s="3">
        <v>125</v>
      </c>
      <c r="I274" s="4">
        <v>0</v>
      </c>
      <c r="J274" s="3">
        <f>G274*H274*(1-I274)</f>
        <v>0</v>
      </c>
      <c r="K274" s="3">
        <f>G274*H274*0.65</f>
        <v>0</v>
      </c>
      <c r="L274" s="3">
        <f>J274-K274</f>
        <v>0</v>
      </c>
    </row>
    <row r="275" spans="1:12">
      <c r="A275" t="s">
        <v>338</v>
      </c>
      <c r="B275" s="2">
        <v>45482</v>
      </c>
      <c r="C275" t="s">
        <v>43</v>
      </c>
      <c r="D275" t="s">
        <v>14</v>
      </c>
      <c r="E275" t="s">
        <v>15</v>
      </c>
      <c r="F275" t="s">
        <v>16</v>
      </c>
      <c r="G275">
        <v>4</v>
      </c>
      <c r="H275" s="3">
        <v>20</v>
      </c>
      <c r="I275" s="4">
        <v>0.05</v>
      </c>
      <c r="J275" s="3">
        <f>G275*H275*(1-I275)</f>
        <v>0</v>
      </c>
      <c r="K275" s="3">
        <f>G275*H275*0.65</f>
        <v>0</v>
      </c>
      <c r="L275" s="3">
        <f>J275-K275</f>
        <v>0</v>
      </c>
    </row>
    <row r="276" spans="1:12">
      <c r="A276" t="s">
        <v>339</v>
      </c>
      <c r="B276" s="2">
        <v>44969</v>
      </c>
      <c r="C276" t="s">
        <v>55</v>
      </c>
      <c r="D276" t="s">
        <v>19</v>
      </c>
      <c r="E276" t="s">
        <v>45</v>
      </c>
      <c r="F276" t="s">
        <v>97</v>
      </c>
      <c r="G276">
        <v>2</v>
      </c>
      <c r="H276" s="3">
        <v>51</v>
      </c>
      <c r="I276" s="4">
        <v>0</v>
      </c>
      <c r="J276" s="3">
        <f>G276*H276*(1-I276)</f>
        <v>0</v>
      </c>
      <c r="K276" s="3">
        <f>G276*H276*0.65</f>
        <v>0</v>
      </c>
      <c r="L276" s="3">
        <f>J276-K276</f>
        <v>0</v>
      </c>
    </row>
    <row r="277" spans="1:12">
      <c r="A277" t="s">
        <v>340</v>
      </c>
      <c r="B277" s="2">
        <v>45086</v>
      </c>
      <c r="C277" t="s">
        <v>18</v>
      </c>
      <c r="D277" t="s">
        <v>19</v>
      </c>
      <c r="E277" t="s">
        <v>20</v>
      </c>
      <c r="F277" t="s">
        <v>21</v>
      </c>
      <c r="G277">
        <v>10</v>
      </c>
      <c r="H277" s="3">
        <v>97</v>
      </c>
      <c r="I277" s="4">
        <v>0.05</v>
      </c>
      <c r="J277" s="3">
        <f>G277*H277*(1-I277)</f>
        <v>0</v>
      </c>
      <c r="K277" s="3">
        <f>G277*H277*0.65</f>
        <v>0</v>
      </c>
      <c r="L277" s="3">
        <f>J277-K277</f>
        <v>0</v>
      </c>
    </row>
    <row r="278" spans="1:12">
      <c r="A278" t="s">
        <v>341</v>
      </c>
      <c r="B278" s="2">
        <v>45389</v>
      </c>
      <c r="C278" t="s">
        <v>55</v>
      </c>
      <c r="D278" t="s">
        <v>19</v>
      </c>
      <c r="E278" t="s">
        <v>20</v>
      </c>
      <c r="F278" t="s">
        <v>51</v>
      </c>
      <c r="G278">
        <v>14</v>
      </c>
      <c r="H278" s="3">
        <v>98</v>
      </c>
      <c r="I278" s="4">
        <v>0.1</v>
      </c>
      <c r="J278" s="3">
        <f>G278*H278*(1-I278)</f>
        <v>0</v>
      </c>
      <c r="K278" s="3">
        <f>G278*H278*0.65</f>
        <v>0</v>
      </c>
      <c r="L278" s="3">
        <f>J278-K278</f>
        <v>0</v>
      </c>
    </row>
    <row r="279" spans="1:12">
      <c r="A279" t="s">
        <v>342</v>
      </c>
      <c r="B279" s="2">
        <v>45464</v>
      </c>
      <c r="C279" t="s">
        <v>13</v>
      </c>
      <c r="D279" t="s">
        <v>23</v>
      </c>
      <c r="E279" t="s">
        <v>36</v>
      </c>
      <c r="F279" t="s">
        <v>76</v>
      </c>
      <c r="G279">
        <v>14</v>
      </c>
      <c r="H279" s="3">
        <v>66</v>
      </c>
      <c r="I279" s="4">
        <v>0.05</v>
      </c>
      <c r="J279" s="3">
        <f>G279*H279*(1-I279)</f>
        <v>0</v>
      </c>
      <c r="K279" s="3">
        <f>G279*H279*0.65</f>
        <v>0</v>
      </c>
      <c r="L279" s="3">
        <f>J279-K279</f>
        <v>0</v>
      </c>
    </row>
    <row r="280" spans="1:12">
      <c r="A280" t="s">
        <v>343</v>
      </c>
      <c r="B280" s="2">
        <v>44597</v>
      </c>
      <c r="C280" t="s">
        <v>43</v>
      </c>
      <c r="D280" t="s">
        <v>14</v>
      </c>
      <c r="E280" t="s">
        <v>57</v>
      </c>
      <c r="F280" t="s">
        <v>58</v>
      </c>
      <c r="G280">
        <v>5</v>
      </c>
      <c r="H280" s="3">
        <v>134</v>
      </c>
      <c r="I280" s="4">
        <v>0.05</v>
      </c>
      <c r="J280" s="3">
        <f>G280*H280*(1-I280)</f>
        <v>0</v>
      </c>
      <c r="K280" s="3">
        <f>G280*H280*0.65</f>
        <v>0</v>
      </c>
      <c r="L280" s="3">
        <f>J280-K280</f>
        <v>0</v>
      </c>
    </row>
    <row r="281" spans="1:12">
      <c r="A281" t="s">
        <v>344</v>
      </c>
      <c r="B281" s="2">
        <v>45246</v>
      </c>
      <c r="C281" t="s">
        <v>43</v>
      </c>
      <c r="D281" t="s">
        <v>14</v>
      </c>
      <c r="E281" t="s">
        <v>57</v>
      </c>
      <c r="F281" t="s">
        <v>58</v>
      </c>
      <c r="G281">
        <v>3</v>
      </c>
      <c r="H281" s="3">
        <v>78</v>
      </c>
      <c r="I281" s="4">
        <v>0</v>
      </c>
      <c r="J281" s="3">
        <f>G281*H281*(1-I281)</f>
        <v>0</v>
      </c>
      <c r="K281" s="3">
        <f>G281*H281*0.65</f>
        <v>0</v>
      </c>
      <c r="L281" s="3">
        <f>J281-K281</f>
        <v>0</v>
      </c>
    </row>
    <row r="282" spans="1:12">
      <c r="A282" t="s">
        <v>345</v>
      </c>
      <c r="B282" s="2">
        <v>44581</v>
      </c>
      <c r="C282" t="s">
        <v>13</v>
      </c>
      <c r="D282" t="s">
        <v>23</v>
      </c>
      <c r="E282" t="s">
        <v>24</v>
      </c>
      <c r="F282" t="s">
        <v>60</v>
      </c>
      <c r="G282">
        <v>13</v>
      </c>
      <c r="H282" s="3">
        <v>42</v>
      </c>
      <c r="I282" s="4">
        <v>0.1</v>
      </c>
      <c r="J282" s="3">
        <f>G282*H282*(1-I282)</f>
        <v>0</v>
      </c>
      <c r="K282" s="3">
        <f>G282*H282*0.65</f>
        <v>0</v>
      </c>
      <c r="L282" s="3">
        <f>J282-K282</f>
        <v>0</v>
      </c>
    </row>
    <row r="283" spans="1:12">
      <c r="A283" t="s">
        <v>346</v>
      </c>
      <c r="B283" s="2">
        <v>44882</v>
      </c>
      <c r="C283" t="s">
        <v>13</v>
      </c>
      <c r="D283" t="s">
        <v>14</v>
      </c>
      <c r="E283" t="s">
        <v>15</v>
      </c>
      <c r="F283" t="s">
        <v>115</v>
      </c>
      <c r="G283">
        <v>12</v>
      </c>
      <c r="H283" s="3">
        <v>63</v>
      </c>
      <c r="I283" s="4">
        <v>0</v>
      </c>
      <c r="J283" s="3">
        <f>G283*H283*(1-I283)</f>
        <v>0</v>
      </c>
      <c r="K283" s="3">
        <f>G283*H283*0.65</f>
        <v>0</v>
      </c>
      <c r="L283" s="3">
        <f>J283-K283</f>
        <v>0</v>
      </c>
    </row>
    <row r="284" spans="1:12">
      <c r="A284" t="s">
        <v>347</v>
      </c>
      <c r="B284" s="2">
        <v>45073</v>
      </c>
      <c r="C284" t="s">
        <v>18</v>
      </c>
      <c r="D284" t="s">
        <v>19</v>
      </c>
      <c r="E284" t="s">
        <v>20</v>
      </c>
      <c r="F284" t="s">
        <v>51</v>
      </c>
      <c r="G284">
        <v>13</v>
      </c>
      <c r="H284" s="3">
        <v>138</v>
      </c>
      <c r="I284" s="4">
        <v>0.05</v>
      </c>
      <c r="J284" s="3">
        <f>G284*H284*(1-I284)</f>
        <v>0</v>
      </c>
      <c r="K284" s="3">
        <f>G284*H284*0.65</f>
        <v>0</v>
      </c>
      <c r="L284" s="3">
        <f>J284-K284</f>
        <v>0</v>
      </c>
    </row>
    <row r="285" spans="1:12">
      <c r="A285" t="s">
        <v>348</v>
      </c>
      <c r="B285" s="2">
        <v>44961</v>
      </c>
      <c r="C285" t="s">
        <v>43</v>
      </c>
      <c r="D285" t="s">
        <v>14</v>
      </c>
      <c r="E285" t="s">
        <v>27</v>
      </c>
      <c r="F285" t="s">
        <v>63</v>
      </c>
      <c r="G285">
        <v>9</v>
      </c>
      <c r="H285" s="3">
        <v>115</v>
      </c>
      <c r="I285" s="4">
        <v>0.15</v>
      </c>
      <c r="J285" s="3">
        <f>G285*H285*(1-I285)</f>
        <v>0</v>
      </c>
      <c r="K285" s="3">
        <f>G285*H285*0.65</f>
        <v>0</v>
      </c>
      <c r="L285" s="3">
        <f>J285-K285</f>
        <v>0</v>
      </c>
    </row>
    <row r="286" spans="1:12">
      <c r="A286" t="s">
        <v>349</v>
      </c>
      <c r="B286" s="2">
        <v>45215</v>
      </c>
      <c r="C286" t="s">
        <v>55</v>
      </c>
      <c r="D286" t="s">
        <v>19</v>
      </c>
      <c r="E286" t="s">
        <v>20</v>
      </c>
      <c r="F286" t="s">
        <v>172</v>
      </c>
      <c r="G286">
        <v>4</v>
      </c>
      <c r="H286" s="3">
        <v>752</v>
      </c>
      <c r="I286" s="4">
        <v>0.1</v>
      </c>
      <c r="J286" s="3">
        <f>G286*H286*(1-I286)</f>
        <v>0</v>
      </c>
      <c r="K286" s="3">
        <f>G286*H286*0.65</f>
        <v>0</v>
      </c>
      <c r="L286" s="3">
        <f>J286-K286</f>
        <v>0</v>
      </c>
    </row>
    <row r="287" spans="1:12">
      <c r="A287" t="s">
        <v>350</v>
      </c>
      <c r="B287" s="2">
        <v>45533</v>
      </c>
      <c r="C287" t="s">
        <v>35</v>
      </c>
      <c r="D287" t="s">
        <v>23</v>
      </c>
      <c r="E287" t="s">
        <v>36</v>
      </c>
      <c r="F287" t="s">
        <v>37</v>
      </c>
      <c r="G287">
        <v>6</v>
      </c>
      <c r="H287" s="3">
        <v>116</v>
      </c>
      <c r="I287" s="4">
        <v>0.05</v>
      </c>
      <c r="J287" s="3">
        <f>G287*H287*(1-I287)</f>
        <v>0</v>
      </c>
      <c r="K287" s="3">
        <f>G287*H287*0.65</f>
        <v>0</v>
      </c>
      <c r="L287" s="3">
        <f>J287-K287</f>
        <v>0</v>
      </c>
    </row>
    <row r="288" spans="1:12">
      <c r="A288" t="s">
        <v>351</v>
      </c>
      <c r="B288" s="2">
        <v>45032</v>
      </c>
      <c r="C288" t="s">
        <v>35</v>
      </c>
      <c r="D288" t="s">
        <v>19</v>
      </c>
      <c r="E288" t="s">
        <v>45</v>
      </c>
      <c r="F288" t="s">
        <v>99</v>
      </c>
      <c r="G288">
        <v>2</v>
      </c>
      <c r="H288" s="3">
        <v>80</v>
      </c>
      <c r="I288" s="4">
        <v>0.1</v>
      </c>
      <c r="J288" s="3">
        <f>G288*H288*(1-I288)</f>
        <v>0</v>
      </c>
      <c r="K288" s="3">
        <f>G288*H288*0.65</f>
        <v>0</v>
      </c>
      <c r="L288" s="3">
        <f>J288-K288</f>
        <v>0</v>
      </c>
    </row>
    <row r="289" spans="1:12">
      <c r="A289" t="s">
        <v>352</v>
      </c>
      <c r="B289" s="2">
        <v>45395</v>
      </c>
      <c r="C289" t="s">
        <v>13</v>
      </c>
      <c r="D289" t="s">
        <v>14</v>
      </c>
      <c r="E289" t="s">
        <v>57</v>
      </c>
      <c r="F289" t="s">
        <v>121</v>
      </c>
      <c r="G289">
        <v>6</v>
      </c>
      <c r="H289" s="3">
        <v>32</v>
      </c>
      <c r="I289" s="4">
        <v>0.1</v>
      </c>
      <c r="J289" s="3">
        <f>G289*H289*(1-I289)</f>
        <v>0</v>
      </c>
      <c r="K289" s="3">
        <f>G289*H289*0.65</f>
        <v>0</v>
      </c>
      <c r="L289" s="3">
        <f>J289-K289</f>
        <v>0</v>
      </c>
    </row>
    <row r="290" spans="1:12">
      <c r="A290" t="s">
        <v>353</v>
      </c>
      <c r="B290" s="2">
        <v>45288</v>
      </c>
      <c r="C290" t="s">
        <v>18</v>
      </c>
      <c r="D290" t="s">
        <v>14</v>
      </c>
      <c r="E290" t="s">
        <v>57</v>
      </c>
      <c r="F290" t="s">
        <v>121</v>
      </c>
      <c r="G290">
        <v>3</v>
      </c>
      <c r="H290" s="3">
        <v>71</v>
      </c>
      <c r="I290" s="4">
        <v>0.1</v>
      </c>
      <c r="J290" s="3">
        <f>G290*H290*(1-I290)</f>
        <v>0</v>
      </c>
      <c r="K290" s="3">
        <f>G290*H290*0.65</f>
        <v>0</v>
      </c>
      <c r="L290" s="3">
        <f>J290-K290</f>
        <v>0</v>
      </c>
    </row>
    <row r="291" spans="1:12">
      <c r="A291" t="s">
        <v>354</v>
      </c>
      <c r="B291" s="2">
        <v>45415</v>
      </c>
      <c r="C291" t="s">
        <v>35</v>
      </c>
      <c r="D291" t="s">
        <v>14</v>
      </c>
      <c r="E291" t="s">
        <v>27</v>
      </c>
      <c r="F291" t="s">
        <v>28</v>
      </c>
      <c r="G291">
        <v>12</v>
      </c>
      <c r="H291" s="3">
        <v>127</v>
      </c>
      <c r="I291" s="4">
        <v>0.05</v>
      </c>
      <c r="J291" s="3">
        <f>G291*H291*(1-I291)</f>
        <v>0</v>
      </c>
      <c r="K291" s="3">
        <f>G291*H291*0.65</f>
        <v>0</v>
      </c>
      <c r="L291" s="3">
        <f>J291-K291</f>
        <v>0</v>
      </c>
    </row>
    <row r="292" spans="1:12">
      <c r="A292" t="s">
        <v>355</v>
      </c>
      <c r="B292" s="2">
        <v>44612</v>
      </c>
      <c r="C292" t="s">
        <v>43</v>
      </c>
      <c r="D292" t="s">
        <v>23</v>
      </c>
      <c r="E292" t="s">
        <v>24</v>
      </c>
      <c r="F292" t="s">
        <v>147</v>
      </c>
      <c r="G292">
        <v>12</v>
      </c>
      <c r="H292" s="3">
        <v>61</v>
      </c>
      <c r="I292" s="4">
        <v>0</v>
      </c>
      <c r="J292" s="3">
        <f>G292*H292*(1-I292)</f>
        <v>0</v>
      </c>
      <c r="K292" s="3">
        <f>G292*H292*0.65</f>
        <v>0</v>
      </c>
      <c r="L292" s="3">
        <f>J292-K292</f>
        <v>0</v>
      </c>
    </row>
    <row r="293" spans="1:12">
      <c r="A293" t="s">
        <v>356</v>
      </c>
      <c r="B293" s="2">
        <v>45136</v>
      </c>
      <c r="C293" t="s">
        <v>13</v>
      </c>
      <c r="D293" t="s">
        <v>23</v>
      </c>
      <c r="E293" t="s">
        <v>36</v>
      </c>
      <c r="F293" t="s">
        <v>37</v>
      </c>
      <c r="G293">
        <v>9</v>
      </c>
      <c r="H293" s="3">
        <v>138</v>
      </c>
      <c r="I293" s="4">
        <v>0</v>
      </c>
      <c r="J293" s="3">
        <f>G293*H293*(1-I293)</f>
        <v>0</v>
      </c>
      <c r="K293" s="3">
        <f>G293*H293*0.65</f>
        <v>0</v>
      </c>
      <c r="L293" s="3">
        <f>J293-K293</f>
        <v>0</v>
      </c>
    </row>
    <row r="294" spans="1:12">
      <c r="A294" t="s">
        <v>357</v>
      </c>
      <c r="B294" s="2">
        <v>44711</v>
      </c>
      <c r="C294" t="s">
        <v>55</v>
      </c>
      <c r="D294" t="s">
        <v>14</v>
      </c>
      <c r="E294" t="s">
        <v>27</v>
      </c>
      <c r="F294" t="s">
        <v>63</v>
      </c>
      <c r="G294">
        <v>11</v>
      </c>
      <c r="H294" s="3">
        <v>80</v>
      </c>
      <c r="I294" s="4">
        <v>0</v>
      </c>
      <c r="J294" s="3">
        <f>G294*H294*(1-I294)</f>
        <v>0</v>
      </c>
      <c r="K294" s="3">
        <f>G294*H294*0.65</f>
        <v>0</v>
      </c>
      <c r="L294" s="3">
        <f>J294-K294</f>
        <v>0</v>
      </c>
    </row>
    <row r="295" spans="1:12">
      <c r="A295" t="s">
        <v>358</v>
      </c>
      <c r="B295" s="2">
        <v>44875</v>
      </c>
      <c r="C295" t="s">
        <v>13</v>
      </c>
      <c r="D295" t="s">
        <v>19</v>
      </c>
      <c r="E295" t="s">
        <v>45</v>
      </c>
      <c r="F295" t="s">
        <v>99</v>
      </c>
      <c r="G295">
        <v>2</v>
      </c>
      <c r="H295" s="3">
        <v>142</v>
      </c>
      <c r="I295" s="4">
        <v>0.05</v>
      </c>
      <c r="J295" s="3">
        <f>G295*H295*(1-I295)</f>
        <v>0</v>
      </c>
      <c r="K295" s="3">
        <f>G295*H295*0.65</f>
        <v>0</v>
      </c>
      <c r="L295" s="3">
        <f>J295-K295</f>
        <v>0</v>
      </c>
    </row>
    <row r="296" spans="1:12">
      <c r="A296" t="s">
        <v>359</v>
      </c>
      <c r="B296" s="2">
        <v>45131</v>
      </c>
      <c r="C296" t="s">
        <v>55</v>
      </c>
      <c r="D296" t="s">
        <v>23</v>
      </c>
      <c r="E296" t="s">
        <v>24</v>
      </c>
      <c r="F296" t="s">
        <v>60</v>
      </c>
      <c r="G296">
        <v>12</v>
      </c>
      <c r="H296" s="3">
        <v>114</v>
      </c>
      <c r="I296" s="4">
        <v>0</v>
      </c>
      <c r="J296" s="3">
        <f>G296*H296*(1-I296)</f>
        <v>0</v>
      </c>
      <c r="K296" s="3">
        <f>G296*H296*0.65</f>
        <v>0</v>
      </c>
      <c r="L296" s="3">
        <f>J296-K296</f>
        <v>0</v>
      </c>
    </row>
    <row r="297" spans="1:12">
      <c r="A297" t="s">
        <v>360</v>
      </c>
      <c r="B297" s="2">
        <v>44866</v>
      </c>
      <c r="C297" t="s">
        <v>13</v>
      </c>
      <c r="D297" t="s">
        <v>14</v>
      </c>
      <c r="E297" t="s">
        <v>27</v>
      </c>
      <c r="F297" t="s">
        <v>101</v>
      </c>
      <c r="G297">
        <v>12</v>
      </c>
      <c r="H297" s="3">
        <v>75</v>
      </c>
      <c r="I297" s="4">
        <v>0.05</v>
      </c>
      <c r="J297" s="3">
        <f>G297*H297*(1-I297)</f>
        <v>0</v>
      </c>
      <c r="K297" s="3">
        <f>G297*H297*0.65</f>
        <v>0</v>
      </c>
      <c r="L297" s="3">
        <f>J297-K297</f>
        <v>0</v>
      </c>
    </row>
    <row r="298" spans="1:12">
      <c r="A298" t="s">
        <v>361</v>
      </c>
      <c r="B298" s="2">
        <v>45243</v>
      </c>
      <c r="C298" t="s">
        <v>13</v>
      </c>
      <c r="D298" t="s">
        <v>14</v>
      </c>
      <c r="E298" t="s">
        <v>57</v>
      </c>
      <c r="F298" t="s">
        <v>65</v>
      </c>
      <c r="G298">
        <v>9</v>
      </c>
      <c r="H298" s="3">
        <v>137</v>
      </c>
      <c r="I298" s="4">
        <v>0</v>
      </c>
      <c r="J298" s="3">
        <f>G298*H298*(1-I298)</f>
        <v>0</v>
      </c>
      <c r="K298" s="3">
        <f>G298*H298*0.65</f>
        <v>0</v>
      </c>
      <c r="L298" s="3">
        <f>J298-K298</f>
        <v>0</v>
      </c>
    </row>
    <row r="299" spans="1:12">
      <c r="A299" t="s">
        <v>362</v>
      </c>
      <c r="B299" s="2">
        <v>45399</v>
      </c>
      <c r="C299" t="s">
        <v>13</v>
      </c>
      <c r="D299" t="s">
        <v>23</v>
      </c>
      <c r="E299" t="s">
        <v>36</v>
      </c>
      <c r="F299" t="s">
        <v>41</v>
      </c>
      <c r="G299">
        <v>5</v>
      </c>
      <c r="H299" s="3">
        <v>50</v>
      </c>
      <c r="I299" s="4">
        <v>0</v>
      </c>
      <c r="J299" s="3">
        <f>G299*H299*(1-I299)</f>
        <v>0</v>
      </c>
      <c r="K299" s="3">
        <f>G299*H299*0.65</f>
        <v>0</v>
      </c>
      <c r="L299" s="3">
        <f>J299-K299</f>
        <v>0</v>
      </c>
    </row>
    <row r="300" spans="1:12">
      <c r="A300" t="s">
        <v>363</v>
      </c>
      <c r="B300" s="2">
        <v>45639</v>
      </c>
      <c r="C300" t="s">
        <v>55</v>
      </c>
      <c r="D300" t="s">
        <v>23</v>
      </c>
      <c r="E300" t="s">
        <v>36</v>
      </c>
      <c r="F300" t="s">
        <v>37</v>
      </c>
      <c r="G300">
        <v>8</v>
      </c>
      <c r="H300" s="3">
        <v>73</v>
      </c>
      <c r="I300" s="4">
        <v>0.1</v>
      </c>
      <c r="J300" s="3">
        <f>G300*H300*(1-I300)</f>
        <v>0</v>
      </c>
      <c r="K300" s="3">
        <f>G300*H300*0.65</f>
        <v>0</v>
      </c>
      <c r="L300" s="3">
        <f>J300-K300</f>
        <v>0</v>
      </c>
    </row>
    <row r="301" spans="1:12">
      <c r="A301" t="s">
        <v>364</v>
      </c>
      <c r="B301" s="2">
        <v>45564</v>
      </c>
      <c r="C301" t="s">
        <v>55</v>
      </c>
      <c r="D301" t="s">
        <v>23</v>
      </c>
      <c r="E301" t="s">
        <v>36</v>
      </c>
      <c r="F301" t="s">
        <v>37</v>
      </c>
      <c r="G301">
        <v>2</v>
      </c>
      <c r="H301" s="3">
        <v>40</v>
      </c>
      <c r="I301" s="4">
        <v>0.05</v>
      </c>
      <c r="J301" s="3">
        <f>G301*H301*(1-I301)</f>
        <v>0</v>
      </c>
      <c r="K301" s="3">
        <f>G301*H301*0.65</f>
        <v>0</v>
      </c>
      <c r="L301" s="3">
        <f>J301-K301</f>
        <v>0</v>
      </c>
    </row>
    <row r="302" spans="1:12">
      <c r="A302" t="s">
        <v>365</v>
      </c>
      <c r="B302" s="2">
        <v>45005</v>
      </c>
      <c r="C302" t="s">
        <v>13</v>
      </c>
      <c r="D302" t="s">
        <v>19</v>
      </c>
      <c r="E302" t="s">
        <v>30</v>
      </c>
      <c r="F302" t="s">
        <v>31</v>
      </c>
      <c r="G302">
        <v>6</v>
      </c>
      <c r="H302" s="3">
        <v>802</v>
      </c>
      <c r="I302" s="4">
        <v>0</v>
      </c>
      <c r="J302" s="3">
        <f>G302*H302*(1-I302)</f>
        <v>0</v>
      </c>
      <c r="K302" s="3">
        <f>G302*H302*0.65</f>
        <v>0</v>
      </c>
      <c r="L302" s="3">
        <f>J302-K302</f>
        <v>0</v>
      </c>
    </row>
    <row r="303" spans="1:12">
      <c r="A303" t="s">
        <v>366</v>
      </c>
      <c r="B303" s="2">
        <v>45174</v>
      </c>
      <c r="C303" t="s">
        <v>35</v>
      </c>
      <c r="D303" t="s">
        <v>19</v>
      </c>
      <c r="E303" t="s">
        <v>30</v>
      </c>
      <c r="F303" t="s">
        <v>39</v>
      </c>
      <c r="G303">
        <v>3</v>
      </c>
      <c r="H303" s="3">
        <v>97</v>
      </c>
      <c r="I303" s="4">
        <v>0.1</v>
      </c>
      <c r="J303" s="3">
        <f>G303*H303*(1-I303)</f>
        <v>0</v>
      </c>
      <c r="K303" s="3">
        <f>G303*H303*0.65</f>
        <v>0</v>
      </c>
      <c r="L303" s="3">
        <f>J303-K303</f>
        <v>0</v>
      </c>
    </row>
    <row r="304" spans="1:12">
      <c r="A304" t="s">
        <v>367</v>
      </c>
      <c r="B304" s="2">
        <v>45554</v>
      </c>
      <c r="C304" t="s">
        <v>18</v>
      </c>
      <c r="D304" t="s">
        <v>14</v>
      </c>
      <c r="E304" t="s">
        <v>27</v>
      </c>
      <c r="F304" t="s">
        <v>101</v>
      </c>
      <c r="G304">
        <v>12</v>
      </c>
      <c r="H304" s="3">
        <v>144</v>
      </c>
      <c r="I304" s="4">
        <v>0</v>
      </c>
      <c r="J304" s="3">
        <f>G304*H304*(1-I304)</f>
        <v>0</v>
      </c>
      <c r="K304" s="3">
        <f>G304*H304*0.65</f>
        <v>0</v>
      </c>
      <c r="L304" s="3">
        <f>J304-K304</f>
        <v>0</v>
      </c>
    </row>
    <row r="305" spans="1:12">
      <c r="A305" t="s">
        <v>368</v>
      </c>
      <c r="B305" s="2">
        <v>44825</v>
      </c>
      <c r="C305" t="s">
        <v>18</v>
      </c>
      <c r="D305" t="s">
        <v>23</v>
      </c>
      <c r="E305" t="s">
        <v>68</v>
      </c>
      <c r="F305" t="s">
        <v>240</v>
      </c>
      <c r="G305">
        <v>12</v>
      </c>
      <c r="H305" s="3">
        <v>30</v>
      </c>
      <c r="I305" s="4">
        <v>0.1</v>
      </c>
      <c r="J305" s="3">
        <f>G305*H305*(1-I305)</f>
        <v>0</v>
      </c>
      <c r="K305" s="3">
        <f>G305*H305*0.65</f>
        <v>0</v>
      </c>
      <c r="L305" s="3">
        <f>J305-K305</f>
        <v>0</v>
      </c>
    </row>
    <row r="306" spans="1:12">
      <c r="A306" t="s">
        <v>369</v>
      </c>
      <c r="B306" s="2">
        <v>45638</v>
      </c>
      <c r="C306" t="s">
        <v>18</v>
      </c>
      <c r="D306" t="s">
        <v>19</v>
      </c>
      <c r="E306" t="s">
        <v>20</v>
      </c>
      <c r="F306" t="s">
        <v>172</v>
      </c>
      <c r="G306">
        <v>14</v>
      </c>
      <c r="H306" s="3">
        <v>791</v>
      </c>
      <c r="I306" s="4">
        <v>0.1</v>
      </c>
      <c r="J306" s="3">
        <f>G306*H306*(1-I306)</f>
        <v>0</v>
      </c>
      <c r="K306" s="3">
        <f>G306*H306*0.65</f>
        <v>0</v>
      </c>
      <c r="L306" s="3">
        <f>J306-K306</f>
        <v>0</v>
      </c>
    </row>
    <row r="307" spans="1:12">
      <c r="A307" t="s">
        <v>370</v>
      </c>
      <c r="B307" s="2">
        <v>45565</v>
      </c>
      <c r="C307" t="s">
        <v>55</v>
      </c>
      <c r="D307" t="s">
        <v>23</v>
      </c>
      <c r="E307" t="s">
        <v>68</v>
      </c>
      <c r="F307" t="s">
        <v>152</v>
      </c>
      <c r="G307">
        <v>10</v>
      </c>
      <c r="H307" s="3">
        <v>340</v>
      </c>
      <c r="I307" s="4">
        <v>0</v>
      </c>
      <c r="J307" s="3">
        <f>G307*H307*(1-I307)</f>
        <v>0</v>
      </c>
      <c r="K307" s="3">
        <f>G307*H307*0.65</f>
        <v>0</v>
      </c>
      <c r="L307" s="3">
        <f>J307-K307</f>
        <v>0</v>
      </c>
    </row>
    <row r="308" spans="1:12">
      <c r="A308" t="s">
        <v>371</v>
      </c>
      <c r="B308" s="2">
        <v>44566</v>
      </c>
      <c r="C308" t="s">
        <v>55</v>
      </c>
      <c r="D308" t="s">
        <v>14</v>
      </c>
      <c r="E308" t="s">
        <v>27</v>
      </c>
      <c r="F308" t="s">
        <v>140</v>
      </c>
      <c r="G308">
        <v>5</v>
      </c>
      <c r="H308" s="3">
        <v>53</v>
      </c>
      <c r="I308" s="4">
        <v>0.1</v>
      </c>
      <c r="J308" s="3">
        <f>G308*H308*(1-I308)</f>
        <v>0</v>
      </c>
      <c r="K308" s="3">
        <f>G308*H308*0.65</f>
        <v>0</v>
      </c>
      <c r="L308" s="3">
        <f>J308-K308</f>
        <v>0</v>
      </c>
    </row>
    <row r="309" spans="1:12">
      <c r="A309" t="s">
        <v>372</v>
      </c>
      <c r="B309" s="2">
        <v>45335</v>
      </c>
      <c r="C309" t="s">
        <v>35</v>
      </c>
      <c r="D309" t="s">
        <v>19</v>
      </c>
      <c r="E309" t="s">
        <v>30</v>
      </c>
      <c r="F309" t="s">
        <v>31</v>
      </c>
      <c r="G309">
        <v>12</v>
      </c>
      <c r="H309" s="3">
        <v>824</v>
      </c>
      <c r="I309" s="4">
        <v>0.05</v>
      </c>
      <c r="J309" s="3">
        <f>G309*H309*(1-I309)</f>
        <v>0</v>
      </c>
      <c r="K309" s="3">
        <f>G309*H309*0.65</f>
        <v>0</v>
      </c>
      <c r="L309" s="3">
        <f>J309-K309</f>
        <v>0</v>
      </c>
    </row>
    <row r="310" spans="1:12">
      <c r="A310" t="s">
        <v>373</v>
      </c>
      <c r="B310" s="2">
        <v>45438</v>
      </c>
      <c r="C310" t="s">
        <v>18</v>
      </c>
      <c r="D310" t="s">
        <v>19</v>
      </c>
      <c r="E310" t="s">
        <v>30</v>
      </c>
      <c r="F310" t="s">
        <v>130</v>
      </c>
      <c r="G310">
        <v>8</v>
      </c>
      <c r="H310" s="3">
        <v>1196</v>
      </c>
      <c r="I310" s="4">
        <v>0.05</v>
      </c>
      <c r="J310" s="3">
        <f>G310*H310*(1-I310)</f>
        <v>0</v>
      </c>
      <c r="K310" s="3">
        <f>G310*H310*0.65</f>
        <v>0</v>
      </c>
      <c r="L310" s="3">
        <f>J310-K310</f>
        <v>0</v>
      </c>
    </row>
    <row r="311" spans="1:12">
      <c r="A311" t="s">
        <v>374</v>
      </c>
      <c r="B311" s="2">
        <v>45553</v>
      </c>
      <c r="C311" t="s">
        <v>18</v>
      </c>
      <c r="D311" t="s">
        <v>19</v>
      </c>
      <c r="E311" t="s">
        <v>30</v>
      </c>
      <c r="F311" t="s">
        <v>31</v>
      </c>
      <c r="G311">
        <v>10</v>
      </c>
      <c r="H311" s="3">
        <v>810</v>
      </c>
      <c r="I311" s="4">
        <v>0</v>
      </c>
      <c r="J311" s="3">
        <f>G311*H311*(1-I311)</f>
        <v>0</v>
      </c>
      <c r="K311" s="3">
        <f>G311*H311*0.65</f>
        <v>0</v>
      </c>
      <c r="L311" s="3">
        <f>J311-K311</f>
        <v>0</v>
      </c>
    </row>
    <row r="312" spans="1:12">
      <c r="A312" t="s">
        <v>375</v>
      </c>
      <c r="B312" s="2">
        <v>45445</v>
      </c>
      <c r="C312" t="s">
        <v>13</v>
      </c>
      <c r="D312" t="s">
        <v>14</v>
      </c>
      <c r="E312" t="s">
        <v>15</v>
      </c>
      <c r="F312" t="s">
        <v>80</v>
      </c>
      <c r="G312">
        <v>14</v>
      </c>
      <c r="H312" s="3">
        <v>127</v>
      </c>
      <c r="I312" s="4">
        <v>0</v>
      </c>
      <c r="J312" s="3">
        <f>G312*H312*(1-I312)</f>
        <v>0</v>
      </c>
      <c r="K312" s="3">
        <f>G312*H312*0.65</f>
        <v>0</v>
      </c>
      <c r="L312" s="3">
        <f>J312-K312</f>
        <v>0</v>
      </c>
    </row>
    <row r="313" spans="1:12">
      <c r="A313" t="s">
        <v>376</v>
      </c>
      <c r="B313" s="2">
        <v>44608</v>
      </c>
      <c r="C313" t="s">
        <v>55</v>
      </c>
      <c r="D313" t="s">
        <v>23</v>
      </c>
      <c r="E313" t="s">
        <v>68</v>
      </c>
      <c r="F313" t="s">
        <v>69</v>
      </c>
      <c r="G313">
        <v>1</v>
      </c>
      <c r="H313" s="3">
        <v>40</v>
      </c>
      <c r="I313" s="4">
        <v>0.15</v>
      </c>
      <c r="J313" s="3">
        <f>G313*H313*(1-I313)</f>
        <v>0</v>
      </c>
      <c r="K313" s="3">
        <f>G313*H313*0.65</f>
        <v>0</v>
      </c>
      <c r="L313" s="3">
        <f>J313-K313</f>
        <v>0</v>
      </c>
    </row>
    <row r="314" spans="1:12">
      <c r="A314" t="s">
        <v>377</v>
      </c>
      <c r="B314" s="2">
        <v>45428</v>
      </c>
      <c r="C314" t="s">
        <v>18</v>
      </c>
      <c r="D314" t="s">
        <v>19</v>
      </c>
      <c r="E314" t="s">
        <v>30</v>
      </c>
      <c r="F314" t="s">
        <v>39</v>
      </c>
      <c r="G314">
        <v>5</v>
      </c>
      <c r="H314" s="3">
        <v>129</v>
      </c>
      <c r="I314" s="4">
        <v>0</v>
      </c>
      <c r="J314" s="3">
        <f>G314*H314*(1-I314)</f>
        <v>0</v>
      </c>
      <c r="K314" s="3">
        <f>G314*H314*0.65</f>
        <v>0</v>
      </c>
      <c r="L314" s="3">
        <f>J314-K314</f>
        <v>0</v>
      </c>
    </row>
    <row r="315" spans="1:12">
      <c r="A315" t="s">
        <v>378</v>
      </c>
      <c r="B315" s="2">
        <v>45384</v>
      </c>
      <c r="C315" t="s">
        <v>35</v>
      </c>
      <c r="D315" t="s">
        <v>14</v>
      </c>
      <c r="E315" t="s">
        <v>15</v>
      </c>
      <c r="F315" t="s">
        <v>33</v>
      </c>
      <c r="G315">
        <v>3</v>
      </c>
      <c r="H315" s="3">
        <v>80</v>
      </c>
      <c r="I315" s="4">
        <v>0.05</v>
      </c>
      <c r="J315" s="3">
        <f>G315*H315*(1-I315)</f>
        <v>0</v>
      </c>
      <c r="K315" s="3">
        <f>G315*H315*0.65</f>
        <v>0</v>
      </c>
      <c r="L315" s="3">
        <f>J315-K315</f>
        <v>0</v>
      </c>
    </row>
    <row r="316" spans="1:12">
      <c r="A316" t="s">
        <v>379</v>
      </c>
      <c r="B316" s="2">
        <v>45497</v>
      </c>
      <c r="C316" t="s">
        <v>35</v>
      </c>
      <c r="D316" t="s">
        <v>23</v>
      </c>
      <c r="E316" t="s">
        <v>36</v>
      </c>
      <c r="F316" t="s">
        <v>41</v>
      </c>
      <c r="G316">
        <v>4</v>
      </c>
      <c r="H316" s="3">
        <v>46</v>
      </c>
      <c r="I316" s="4">
        <v>0.05</v>
      </c>
      <c r="J316" s="3">
        <f>G316*H316*(1-I316)</f>
        <v>0</v>
      </c>
      <c r="K316" s="3">
        <f>G316*H316*0.65</f>
        <v>0</v>
      </c>
      <c r="L316" s="3">
        <f>J316-K316</f>
        <v>0</v>
      </c>
    </row>
    <row r="317" spans="1:12">
      <c r="A317" t="s">
        <v>380</v>
      </c>
      <c r="B317" s="2">
        <v>45217</v>
      </c>
      <c r="C317" t="s">
        <v>18</v>
      </c>
      <c r="D317" t="s">
        <v>14</v>
      </c>
      <c r="E317" t="s">
        <v>57</v>
      </c>
      <c r="F317" t="s">
        <v>149</v>
      </c>
      <c r="G317">
        <v>2</v>
      </c>
      <c r="H317" s="3">
        <v>7</v>
      </c>
      <c r="I317" s="4">
        <v>0.05</v>
      </c>
      <c r="J317" s="3">
        <f>G317*H317*(1-I317)</f>
        <v>0</v>
      </c>
      <c r="K317" s="3">
        <f>G317*H317*0.65</f>
        <v>0</v>
      </c>
      <c r="L317" s="3">
        <f>J317-K317</f>
        <v>0</v>
      </c>
    </row>
    <row r="318" spans="1:12">
      <c r="A318" t="s">
        <v>381</v>
      </c>
      <c r="B318" s="2">
        <v>44830</v>
      </c>
      <c r="C318" t="s">
        <v>55</v>
      </c>
      <c r="D318" t="s">
        <v>23</v>
      </c>
      <c r="E318" t="s">
        <v>24</v>
      </c>
      <c r="F318" t="s">
        <v>60</v>
      </c>
      <c r="G318">
        <v>9</v>
      </c>
      <c r="H318" s="3">
        <v>111</v>
      </c>
      <c r="I318" s="4">
        <v>0</v>
      </c>
      <c r="J318" s="3">
        <f>G318*H318*(1-I318)</f>
        <v>0</v>
      </c>
      <c r="K318" s="3">
        <f>G318*H318*0.65</f>
        <v>0</v>
      </c>
      <c r="L318" s="3">
        <f>J318-K318</f>
        <v>0</v>
      </c>
    </row>
    <row r="319" spans="1:12">
      <c r="A319" t="s">
        <v>382</v>
      </c>
      <c r="B319" s="2">
        <v>44931</v>
      </c>
      <c r="C319" t="s">
        <v>35</v>
      </c>
      <c r="D319" t="s">
        <v>14</v>
      </c>
      <c r="E319" t="s">
        <v>15</v>
      </c>
      <c r="F319" t="s">
        <v>33</v>
      </c>
      <c r="G319">
        <v>3</v>
      </c>
      <c r="H319" s="3">
        <v>133</v>
      </c>
      <c r="I319" s="4">
        <v>0</v>
      </c>
      <c r="J319" s="3">
        <f>G319*H319*(1-I319)</f>
        <v>0</v>
      </c>
      <c r="K319" s="3">
        <f>G319*H319*0.65</f>
        <v>0</v>
      </c>
      <c r="L319" s="3">
        <f>J319-K319</f>
        <v>0</v>
      </c>
    </row>
    <row r="320" spans="1:12">
      <c r="A320" t="s">
        <v>383</v>
      </c>
      <c r="B320" s="2">
        <v>45197</v>
      </c>
      <c r="C320" t="s">
        <v>13</v>
      </c>
      <c r="D320" t="s">
        <v>23</v>
      </c>
      <c r="E320" t="s">
        <v>36</v>
      </c>
      <c r="F320" t="s">
        <v>74</v>
      </c>
      <c r="G320">
        <v>2</v>
      </c>
      <c r="H320" s="3">
        <v>363</v>
      </c>
      <c r="I320" s="4">
        <v>0.1</v>
      </c>
      <c r="J320" s="3">
        <f>G320*H320*(1-I320)</f>
        <v>0</v>
      </c>
      <c r="K320" s="3">
        <f>G320*H320*0.65</f>
        <v>0</v>
      </c>
      <c r="L320" s="3">
        <f>J320-K320</f>
        <v>0</v>
      </c>
    </row>
    <row r="321" spans="1:12">
      <c r="A321" t="s">
        <v>384</v>
      </c>
      <c r="B321" s="2">
        <v>45218</v>
      </c>
      <c r="C321" t="s">
        <v>35</v>
      </c>
      <c r="D321" t="s">
        <v>19</v>
      </c>
      <c r="E321" t="s">
        <v>45</v>
      </c>
      <c r="F321" t="s">
        <v>97</v>
      </c>
      <c r="G321">
        <v>10</v>
      </c>
      <c r="H321" s="3">
        <v>53</v>
      </c>
      <c r="I321" s="4">
        <v>0</v>
      </c>
      <c r="J321" s="3">
        <f>G321*H321*(1-I321)</f>
        <v>0</v>
      </c>
      <c r="K321" s="3">
        <f>G321*H321*0.65</f>
        <v>0</v>
      </c>
      <c r="L321" s="3">
        <f>J321-K321</f>
        <v>0</v>
      </c>
    </row>
    <row r="322" spans="1:12">
      <c r="A322" t="s">
        <v>385</v>
      </c>
      <c r="B322" s="2">
        <v>44681</v>
      </c>
      <c r="C322" t="s">
        <v>43</v>
      </c>
      <c r="D322" t="s">
        <v>23</v>
      </c>
      <c r="E322" t="s">
        <v>24</v>
      </c>
      <c r="F322" t="s">
        <v>117</v>
      </c>
      <c r="G322">
        <v>11</v>
      </c>
      <c r="H322" s="3">
        <v>48</v>
      </c>
      <c r="I322" s="4">
        <v>0</v>
      </c>
      <c r="J322" s="3">
        <f>G322*H322*(1-I322)</f>
        <v>0</v>
      </c>
      <c r="K322" s="3">
        <f>G322*H322*0.65</f>
        <v>0</v>
      </c>
      <c r="L322" s="3">
        <f>J322-K322</f>
        <v>0</v>
      </c>
    </row>
    <row r="323" spans="1:12">
      <c r="A323" t="s">
        <v>386</v>
      </c>
      <c r="B323" s="2">
        <v>45392</v>
      </c>
      <c r="C323" t="s">
        <v>43</v>
      </c>
      <c r="D323" t="s">
        <v>14</v>
      </c>
      <c r="E323" t="s">
        <v>15</v>
      </c>
      <c r="F323" t="s">
        <v>33</v>
      </c>
      <c r="G323">
        <v>9</v>
      </c>
      <c r="H323" s="3">
        <v>66</v>
      </c>
      <c r="I323" s="4">
        <v>0</v>
      </c>
      <c r="J323" s="3">
        <f>G323*H323*(1-I323)</f>
        <v>0</v>
      </c>
      <c r="K323" s="3">
        <f>G323*H323*0.65</f>
        <v>0</v>
      </c>
      <c r="L323" s="3">
        <f>J323-K323</f>
        <v>0</v>
      </c>
    </row>
    <row r="324" spans="1:12">
      <c r="A324" t="s">
        <v>387</v>
      </c>
      <c r="B324" s="2">
        <v>45643</v>
      </c>
      <c r="C324" t="s">
        <v>55</v>
      </c>
      <c r="D324" t="s">
        <v>14</v>
      </c>
      <c r="E324" t="s">
        <v>57</v>
      </c>
      <c r="F324" t="s">
        <v>121</v>
      </c>
      <c r="G324">
        <v>7</v>
      </c>
      <c r="H324" s="3">
        <v>132</v>
      </c>
      <c r="I324" s="4">
        <v>0.05</v>
      </c>
      <c r="J324" s="3">
        <f>G324*H324*(1-I324)</f>
        <v>0</v>
      </c>
      <c r="K324" s="3">
        <f>G324*H324*0.65</f>
        <v>0</v>
      </c>
      <c r="L324" s="3">
        <f>J324-K324</f>
        <v>0</v>
      </c>
    </row>
    <row r="325" spans="1:12">
      <c r="A325" t="s">
        <v>388</v>
      </c>
      <c r="B325" s="2">
        <v>45302</v>
      </c>
      <c r="C325" t="s">
        <v>18</v>
      </c>
      <c r="D325" t="s">
        <v>23</v>
      </c>
      <c r="E325" t="s">
        <v>68</v>
      </c>
      <c r="F325" t="s">
        <v>240</v>
      </c>
      <c r="G325">
        <v>6</v>
      </c>
      <c r="H325" s="3">
        <v>114</v>
      </c>
      <c r="I325" s="4">
        <v>0.1</v>
      </c>
      <c r="J325" s="3">
        <f>G325*H325*(1-I325)</f>
        <v>0</v>
      </c>
      <c r="K325" s="3">
        <f>G325*H325*0.65</f>
        <v>0</v>
      </c>
      <c r="L325" s="3">
        <f>J325-K325</f>
        <v>0</v>
      </c>
    </row>
    <row r="326" spans="1:12">
      <c r="A326" t="s">
        <v>389</v>
      </c>
      <c r="B326" s="2">
        <v>44678</v>
      </c>
      <c r="C326" t="s">
        <v>55</v>
      </c>
      <c r="D326" t="s">
        <v>19</v>
      </c>
      <c r="E326" t="s">
        <v>20</v>
      </c>
      <c r="F326" t="s">
        <v>21</v>
      </c>
      <c r="G326">
        <v>1</v>
      </c>
      <c r="H326" s="3">
        <v>37</v>
      </c>
      <c r="I326" s="4">
        <v>0</v>
      </c>
      <c r="J326" s="3">
        <f>G326*H326*(1-I326)</f>
        <v>0</v>
      </c>
      <c r="K326" s="3">
        <f>G326*H326*0.65</f>
        <v>0</v>
      </c>
      <c r="L326" s="3">
        <f>J326-K326</f>
        <v>0</v>
      </c>
    </row>
    <row r="327" spans="1:12">
      <c r="A327" t="s">
        <v>390</v>
      </c>
      <c r="B327" s="2">
        <v>45352</v>
      </c>
      <c r="C327" t="s">
        <v>55</v>
      </c>
      <c r="D327" t="s">
        <v>19</v>
      </c>
      <c r="E327" t="s">
        <v>20</v>
      </c>
      <c r="F327" t="s">
        <v>49</v>
      </c>
      <c r="G327">
        <v>5</v>
      </c>
      <c r="H327" s="3">
        <v>1083</v>
      </c>
      <c r="I327" s="4">
        <v>0</v>
      </c>
      <c r="J327" s="3">
        <f>G327*H327*(1-I327)</f>
        <v>0</v>
      </c>
      <c r="K327" s="3">
        <f>G327*H327*0.65</f>
        <v>0</v>
      </c>
      <c r="L327" s="3">
        <f>J327-K327</f>
        <v>0</v>
      </c>
    </row>
    <row r="328" spans="1:12">
      <c r="A328" t="s">
        <v>391</v>
      </c>
      <c r="B328" s="2">
        <v>45574</v>
      </c>
      <c r="C328" t="s">
        <v>55</v>
      </c>
      <c r="D328" t="s">
        <v>23</v>
      </c>
      <c r="E328" t="s">
        <v>24</v>
      </c>
      <c r="F328" t="s">
        <v>147</v>
      </c>
      <c r="G328">
        <v>12</v>
      </c>
      <c r="H328" s="3">
        <v>34</v>
      </c>
      <c r="I328" s="4">
        <v>0</v>
      </c>
      <c r="J328" s="3">
        <f>G328*H328*(1-I328)</f>
        <v>0</v>
      </c>
      <c r="K328" s="3">
        <f>G328*H328*0.65</f>
        <v>0</v>
      </c>
      <c r="L328" s="3">
        <f>J328-K328</f>
        <v>0</v>
      </c>
    </row>
    <row r="329" spans="1:12">
      <c r="A329" t="s">
        <v>392</v>
      </c>
      <c r="B329" s="2">
        <v>45643</v>
      </c>
      <c r="C329" t="s">
        <v>55</v>
      </c>
      <c r="D329" t="s">
        <v>23</v>
      </c>
      <c r="E329" t="s">
        <v>24</v>
      </c>
      <c r="F329" t="s">
        <v>25</v>
      </c>
      <c r="G329">
        <v>11</v>
      </c>
      <c r="H329" s="3">
        <v>46</v>
      </c>
      <c r="I329" s="4">
        <v>0.1</v>
      </c>
      <c r="J329" s="3">
        <f>G329*H329*(1-I329)</f>
        <v>0</v>
      </c>
      <c r="K329" s="3">
        <f>G329*H329*0.65</f>
        <v>0</v>
      </c>
      <c r="L329" s="3">
        <f>J329-K329</f>
        <v>0</v>
      </c>
    </row>
    <row r="330" spans="1:12">
      <c r="A330" t="s">
        <v>393</v>
      </c>
      <c r="B330" s="2">
        <v>45195</v>
      </c>
      <c r="C330" t="s">
        <v>13</v>
      </c>
      <c r="D330" t="s">
        <v>14</v>
      </c>
      <c r="E330" t="s">
        <v>27</v>
      </c>
      <c r="F330" t="s">
        <v>140</v>
      </c>
      <c r="G330">
        <v>14</v>
      </c>
      <c r="H330" s="3">
        <v>130</v>
      </c>
      <c r="I330" s="4">
        <v>0.05</v>
      </c>
      <c r="J330" s="3">
        <f>G330*H330*(1-I330)</f>
        <v>0</v>
      </c>
      <c r="K330" s="3">
        <f>G330*H330*0.65</f>
        <v>0</v>
      </c>
      <c r="L330" s="3">
        <f>J330-K330</f>
        <v>0</v>
      </c>
    </row>
    <row r="331" spans="1:12">
      <c r="A331" t="s">
        <v>394</v>
      </c>
      <c r="B331" s="2">
        <v>45074</v>
      </c>
      <c r="C331" t="s">
        <v>13</v>
      </c>
      <c r="D331" t="s">
        <v>19</v>
      </c>
      <c r="E331" t="s">
        <v>30</v>
      </c>
      <c r="F331" t="s">
        <v>83</v>
      </c>
      <c r="G331">
        <v>11</v>
      </c>
      <c r="H331" s="3">
        <v>65</v>
      </c>
      <c r="I331" s="4">
        <v>0.05</v>
      </c>
      <c r="J331" s="3">
        <f>G331*H331*(1-I331)</f>
        <v>0</v>
      </c>
      <c r="K331" s="3">
        <f>G331*H331*0.65</f>
        <v>0</v>
      </c>
      <c r="L331" s="3">
        <f>J331-K331</f>
        <v>0</v>
      </c>
    </row>
    <row r="332" spans="1:12">
      <c r="A332" t="s">
        <v>395</v>
      </c>
      <c r="B332" s="2">
        <v>45363</v>
      </c>
      <c r="C332" t="s">
        <v>35</v>
      </c>
      <c r="D332" t="s">
        <v>23</v>
      </c>
      <c r="E332" t="s">
        <v>68</v>
      </c>
      <c r="F332" t="s">
        <v>93</v>
      </c>
      <c r="G332">
        <v>3</v>
      </c>
      <c r="H332" s="3">
        <v>267</v>
      </c>
      <c r="I332" s="4">
        <v>0.1</v>
      </c>
      <c r="J332" s="3">
        <f>G332*H332*(1-I332)</f>
        <v>0</v>
      </c>
      <c r="K332" s="3">
        <f>G332*H332*0.65</f>
        <v>0</v>
      </c>
      <c r="L332" s="3">
        <f>J332-K332</f>
        <v>0</v>
      </c>
    </row>
    <row r="333" spans="1:12">
      <c r="A333" t="s">
        <v>396</v>
      </c>
      <c r="B333" s="2">
        <v>45121</v>
      </c>
      <c r="C333" t="s">
        <v>43</v>
      </c>
      <c r="D333" t="s">
        <v>19</v>
      </c>
      <c r="E333" t="s">
        <v>20</v>
      </c>
      <c r="F333" t="s">
        <v>172</v>
      </c>
      <c r="G333">
        <v>1</v>
      </c>
      <c r="H333" s="3">
        <v>846</v>
      </c>
      <c r="I333" s="4">
        <v>0.05</v>
      </c>
      <c r="J333" s="3">
        <f>G333*H333*(1-I333)</f>
        <v>0</v>
      </c>
      <c r="K333" s="3">
        <f>G333*H333*0.65</f>
        <v>0</v>
      </c>
      <c r="L333" s="3">
        <f>J333-K333</f>
        <v>0</v>
      </c>
    </row>
    <row r="334" spans="1:12">
      <c r="A334" t="s">
        <v>397</v>
      </c>
      <c r="B334" s="2">
        <v>45049</v>
      </c>
      <c r="C334" t="s">
        <v>55</v>
      </c>
      <c r="D334" t="s">
        <v>23</v>
      </c>
      <c r="E334" t="s">
        <v>24</v>
      </c>
      <c r="F334" t="s">
        <v>117</v>
      </c>
      <c r="G334">
        <v>4</v>
      </c>
      <c r="H334" s="3">
        <v>93</v>
      </c>
      <c r="I334" s="4">
        <v>0.1</v>
      </c>
      <c r="J334" s="3">
        <f>G334*H334*(1-I334)</f>
        <v>0</v>
      </c>
      <c r="K334" s="3">
        <f>G334*H334*0.65</f>
        <v>0</v>
      </c>
      <c r="L334" s="3">
        <f>J334-K334</f>
        <v>0</v>
      </c>
    </row>
    <row r="335" spans="1:12">
      <c r="A335" t="s">
        <v>398</v>
      </c>
      <c r="B335" s="2">
        <v>45458</v>
      </c>
      <c r="C335" t="s">
        <v>35</v>
      </c>
      <c r="D335" t="s">
        <v>23</v>
      </c>
      <c r="E335" t="s">
        <v>68</v>
      </c>
      <c r="F335" t="s">
        <v>152</v>
      </c>
      <c r="G335">
        <v>13</v>
      </c>
      <c r="H335" s="3">
        <v>240</v>
      </c>
      <c r="I335" s="4">
        <v>0.1</v>
      </c>
      <c r="J335" s="3">
        <f>G335*H335*(1-I335)</f>
        <v>0</v>
      </c>
      <c r="K335" s="3">
        <f>G335*H335*0.65</f>
        <v>0</v>
      </c>
      <c r="L335" s="3">
        <f>J335-K335</f>
        <v>0</v>
      </c>
    </row>
    <row r="336" spans="1:12">
      <c r="A336" t="s">
        <v>399</v>
      </c>
      <c r="B336" s="2">
        <v>45265</v>
      </c>
      <c r="C336" t="s">
        <v>43</v>
      </c>
      <c r="D336" t="s">
        <v>19</v>
      </c>
      <c r="E336" t="s">
        <v>45</v>
      </c>
      <c r="F336" t="s">
        <v>46</v>
      </c>
      <c r="G336">
        <v>2</v>
      </c>
      <c r="H336" s="3">
        <v>146</v>
      </c>
      <c r="I336" s="4">
        <v>0</v>
      </c>
      <c r="J336" s="3">
        <f>G336*H336*(1-I336)</f>
        <v>0</v>
      </c>
      <c r="K336" s="3">
        <f>G336*H336*0.65</f>
        <v>0</v>
      </c>
      <c r="L336" s="3">
        <f>J336-K336</f>
        <v>0</v>
      </c>
    </row>
    <row r="337" spans="1:12">
      <c r="A337" t="s">
        <v>400</v>
      </c>
      <c r="B337" s="2">
        <v>45142</v>
      </c>
      <c r="C337" t="s">
        <v>18</v>
      </c>
      <c r="D337" t="s">
        <v>23</v>
      </c>
      <c r="E337" t="s">
        <v>68</v>
      </c>
      <c r="F337" t="s">
        <v>93</v>
      </c>
      <c r="G337">
        <v>2</v>
      </c>
      <c r="H337" s="3">
        <v>247</v>
      </c>
      <c r="I337" s="4">
        <v>0</v>
      </c>
      <c r="J337" s="3">
        <f>G337*H337*(1-I337)</f>
        <v>0</v>
      </c>
      <c r="K337" s="3">
        <f>G337*H337*0.65</f>
        <v>0</v>
      </c>
      <c r="L337" s="3">
        <f>J337-K337</f>
        <v>0</v>
      </c>
    </row>
    <row r="338" spans="1:12">
      <c r="A338" t="s">
        <v>401</v>
      </c>
      <c r="B338" s="2">
        <v>45351</v>
      </c>
      <c r="C338" t="s">
        <v>13</v>
      </c>
      <c r="D338" t="s">
        <v>23</v>
      </c>
      <c r="E338" t="s">
        <v>24</v>
      </c>
      <c r="F338" t="s">
        <v>147</v>
      </c>
      <c r="G338">
        <v>3</v>
      </c>
      <c r="H338" s="3">
        <v>40</v>
      </c>
      <c r="I338" s="4">
        <v>0</v>
      </c>
      <c r="J338" s="3">
        <f>G338*H338*(1-I338)</f>
        <v>0</v>
      </c>
      <c r="K338" s="3">
        <f>G338*H338*0.65</f>
        <v>0</v>
      </c>
      <c r="L338" s="3">
        <f>J338-K338</f>
        <v>0</v>
      </c>
    </row>
    <row r="339" spans="1:12">
      <c r="A339" t="s">
        <v>402</v>
      </c>
      <c r="B339" s="2">
        <v>45422</v>
      </c>
      <c r="C339" t="s">
        <v>43</v>
      </c>
      <c r="D339" t="s">
        <v>14</v>
      </c>
      <c r="E339" t="s">
        <v>15</v>
      </c>
      <c r="F339" t="s">
        <v>115</v>
      </c>
      <c r="G339">
        <v>8</v>
      </c>
      <c r="H339" s="3">
        <v>83</v>
      </c>
      <c r="I339" s="4">
        <v>0</v>
      </c>
      <c r="J339" s="3">
        <f>G339*H339*(1-I339)</f>
        <v>0</v>
      </c>
      <c r="K339" s="3">
        <f>G339*H339*0.65</f>
        <v>0</v>
      </c>
      <c r="L339" s="3">
        <f>J339-K339</f>
        <v>0</v>
      </c>
    </row>
    <row r="340" spans="1:12">
      <c r="A340" t="s">
        <v>403</v>
      </c>
      <c r="B340" s="2">
        <v>44808</v>
      </c>
      <c r="C340" t="s">
        <v>18</v>
      </c>
      <c r="D340" t="s">
        <v>23</v>
      </c>
      <c r="E340" t="s">
        <v>36</v>
      </c>
      <c r="F340" t="s">
        <v>76</v>
      </c>
      <c r="G340">
        <v>8</v>
      </c>
      <c r="H340" s="3">
        <v>74</v>
      </c>
      <c r="I340" s="4">
        <v>0.15</v>
      </c>
      <c r="J340" s="3">
        <f>G340*H340*(1-I340)</f>
        <v>0</v>
      </c>
      <c r="K340" s="3">
        <f>G340*H340*0.65</f>
        <v>0</v>
      </c>
      <c r="L340" s="3">
        <f>J340-K340</f>
        <v>0</v>
      </c>
    </row>
    <row r="341" spans="1:12">
      <c r="A341" t="s">
        <v>404</v>
      </c>
      <c r="B341" s="2">
        <v>44715</v>
      </c>
      <c r="C341" t="s">
        <v>43</v>
      </c>
      <c r="D341" t="s">
        <v>23</v>
      </c>
      <c r="E341" t="s">
        <v>36</v>
      </c>
      <c r="F341" t="s">
        <v>76</v>
      </c>
      <c r="G341">
        <v>12</v>
      </c>
      <c r="H341" s="3">
        <v>76</v>
      </c>
      <c r="I341" s="4">
        <v>0.05</v>
      </c>
      <c r="J341" s="3">
        <f>G341*H341*(1-I341)</f>
        <v>0</v>
      </c>
      <c r="K341" s="3">
        <f>G341*H341*0.65</f>
        <v>0</v>
      </c>
      <c r="L341" s="3">
        <f>J341-K341</f>
        <v>0</v>
      </c>
    </row>
    <row r="342" spans="1:12">
      <c r="A342" t="s">
        <v>405</v>
      </c>
      <c r="B342" s="2">
        <v>45558</v>
      </c>
      <c r="C342" t="s">
        <v>13</v>
      </c>
      <c r="D342" t="s">
        <v>23</v>
      </c>
      <c r="E342" t="s">
        <v>68</v>
      </c>
      <c r="F342" t="s">
        <v>152</v>
      </c>
      <c r="G342">
        <v>7</v>
      </c>
      <c r="H342" s="3">
        <v>289</v>
      </c>
      <c r="I342" s="4">
        <v>0</v>
      </c>
      <c r="J342" s="3">
        <f>G342*H342*(1-I342)</f>
        <v>0</v>
      </c>
      <c r="K342" s="3">
        <f>G342*H342*0.65</f>
        <v>0</v>
      </c>
      <c r="L342" s="3">
        <f>J342-K342</f>
        <v>0</v>
      </c>
    </row>
    <row r="343" spans="1:12">
      <c r="A343" t="s">
        <v>406</v>
      </c>
      <c r="B343" s="2">
        <v>45258</v>
      </c>
      <c r="C343" t="s">
        <v>13</v>
      </c>
      <c r="D343" t="s">
        <v>14</v>
      </c>
      <c r="E343" t="s">
        <v>27</v>
      </c>
      <c r="F343" t="s">
        <v>101</v>
      </c>
      <c r="G343">
        <v>6</v>
      </c>
      <c r="H343" s="3">
        <v>147</v>
      </c>
      <c r="I343" s="4">
        <v>0.1</v>
      </c>
      <c r="J343" s="3">
        <f>G343*H343*(1-I343)</f>
        <v>0</v>
      </c>
      <c r="K343" s="3">
        <f>G343*H343*0.65</f>
        <v>0</v>
      </c>
      <c r="L343" s="3">
        <f>J343-K343</f>
        <v>0</v>
      </c>
    </row>
    <row r="344" spans="1:12">
      <c r="A344" t="s">
        <v>407</v>
      </c>
      <c r="B344" s="2">
        <v>45654</v>
      </c>
      <c r="C344" t="s">
        <v>35</v>
      </c>
      <c r="D344" t="s">
        <v>19</v>
      </c>
      <c r="E344" t="s">
        <v>30</v>
      </c>
      <c r="F344" t="s">
        <v>83</v>
      </c>
      <c r="G344">
        <v>9</v>
      </c>
      <c r="H344" s="3">
        <v>50</v>
      </c>
      <c r="I344" s="4">
        <v>0.05</v>
      </c>
      <c r="J344" s="3">
        <f>G344*H344*(1-I344)</f>
        <v>0</v>
      </c>
      <c r="K344" s="3">
        <f>G344*H344*0.65</f>
        <v>0</v>
      </c>
      <c r="L344" s="3">
        <f>J344-K344</f>
        <v>0</v>
      </c>
    </row>
    <row r="345" spans="1:12">
      <c r="A345" t="s">
        <v>408</v>
      </c>
      <c r="B345" s="2">
        <v>45632</v>
      </c>
      <c r="C345" t="s">
        <v>55</v>
      </c>
      <c r="D345" t="s">
        <v>14</v>
      </c>
      <c r="E345" t="s">
        <v>27</v>
      </c>
      <c r="F345" t="s">
        <v>140</v>
      </c>
      <c r="G345">
        <v>4</v>
      </c>
      <c r="H345" s="3">
        <v>147</v>
      </c>
      <c r="I345" s="4">
        <v>0</v>
      </c>
      <c r="J345" s="3">
        <f>G345*H345*(1-I345)</f>
        <v>0</v>
      </c>
      <c r="K345" s="3">
        <f>G345*H345*0.65</f>
        <v>0</v>
      </c>
      <c r="L345" s="3">
        <f>J345-K345</f>
        <v>0</v>
      </c>
    </row>
    <row r="346" spans="1:12">
      <c r="A346" t="s">
        <v>409</v>
      </c>
      <c r="B346" s="2">
        <v>45570</v>
      </c>
      <c r="C346" t="s">
        <v>43</v>
      </c>
      <c r="D346" t="s">
        <v>14</v>
      </c>
      <c r="E346" t="s">
        <v>57</v>
      </c>
      <c r="F346" t="s">
        <v>121</v>
      </c>
      <c r="G346">
        <v>12</v>
      </c>
      <c r="H346" s="3">
        <v>40</v>
      </c>
      <c r="I346" s="4">
        <v>0</v>
      </c>
      <c r="J346" s="3">
        <f>G346*H346*(1-I346)</f>
        <v>0</v>
      </c>
      <c r="K346" s="3">
        <f>G346*H346*0.65</f>
        <v>0</v>
      </c>
      <c r="L346" s="3">
        <f>J346-K346</f>
        <v>0</v>
      </c>
    </row>
    <row r="347" spans="1:12">
      <c r="A347" t="s">
        <v>410</v>
      </c>
      <c r="B347" s="2">
        <v>44655</v>
      </c>
      <c r="C347" t="s">
        <v>43</v>
      </c>
      <c r="D347" t="s">
        <v>19</v>
      </c>
      <c r="E347" t="s">
        <v>45</v>
      </c>
      <c r="F347" t="s">
        <v>86</v>
      </c>
      <c r="G347">
        <v>1</v>
      </c>
      <c r="H347" s="3">
        <v>132</v>
      </c>
      <c r="I347" s="4">
        <v>0.05</v>
      </c>
      <c r="J347" s="3">
        <f>G347*H347*(1-I347)</f>
        <v>0</v>
      </c>
      <c r="K347" s="3">
        <f>G347*H347*0.65</f>
        <v>0</v>
      </c>
      <c r="L347" s="3">
        <f>J347-K347</f>
        <v>0</v>
      </c>
    </row>
    <row r="348" spans="1:12">
      <c r="A348" t="s">
        <v>411</v>
      </c>
      <c r="B348" s="2">
        <v>45519</v>
      </c>
      <c r="C348" t="s">
        <v>18</v>
      </c>
      <c r="D348" t="s">
        <v>14</v>
      </c>
      <c r="E348" t="s">
        <v>15</v>
      </c>
      <c r="F348" t="s">
        <v>80</v>
      </c>
      <c r="G348">
        <v>8</v>
      </c>
      <c r="H348" s="3">
        <v>121</v>
      </c>
      <c r="I348" s="4">
        <v>0.1</v>
      </c>
      <c r="J348" s="3">
        <f>G348*H348*(1-I348)</f>
        <v>0</v>
      </c>
      <c r="K348" s="3">
        <f>G348*H348*0.65</f>
        <v>0</v>
      </c>
      <c r="L348" s="3">
        <f>J348-K348</f>
        <v>0</v>
      </c>
    </row>
    <row r="349" spans="1:12">
      <c r="A349" t="s">
        <v>412</v>
      </c>
      <c r="B349" s="2">
        <v>45573</v>
      </c>
      <c r="C349" t="s">
        <v>13</v>
      </c>
      <c r="D349" t="s">
        <v>19</v>
      </c>
      <c r="E349" t="s">
        <v>30</v>
      </c>
      <c r="F349" t="s">
        <v>31</v>
      </c>
      <c r="G349">
        <v>7</v>
      </c>
      <c r="H349" s="3">
        <v>704</v>
      </c>
      <c r="I349" s="4">
        <v>0</v>
      </c>
      <c r="J349" s="3">
        <f>G349*H349*(1-I349)</f>
        <v>0</v>
      </c>
      <c r="K349" s="3">
        <f>G349*H349*0.65</f>
        <v>0</v>
      </c>
      <c r="L349" s="3">
        <f>J349-K349</f>
        <v>0</v>
      </c>
    </row>
    <row r="350" spans="1:12">
      <c r="A350" t="s">
        <v>413</v>
      </c>
      <c r="B350" s="2">
        <v>45014</v>
      </c>
      <c r="C350" t="s">
        <v>43</v>
      </c>
      <c r="D350" t="s">
        <v>14</v>
      </c>
      <c r="E350" t="s">
        <v>27</v>
      </c>
      <c r="F350" t="s">
        <v>101</v>
      </c>
      <c r="G350">
        <v>7</v>
      </c>
      <c r="H350" s="3">
        <v>110</v>
      </c>
      <c r="I350" s="4">
        <v>0</v>
      </c>
      <c r="J350" s="3">
        <f>G350*H350*(1-I350)</f>
        <v>0</v>
      </c>
      <c r="K350" s="3">
        <f>G350*H350*0.65</f>
        <v>0</v>
      </c>
      <c r="L350" s="3">
        <f>J350-K350</f>
        <v>0</v>
      </c>
    </row>
    <row r="351" spans="1:12">
      <c r="A351" t="s">
        <v>414</v>
      </c>
      <c r="B351" s="2">
        <v>45473</v>
      </c>
      <c r="C351" t="s">
        <v>13</v>
      </c>
      <c r="D351" t="s">
        <v>19</v>
      </c>
      <c r="E351" t="s">
        <v>20</v>
      </c>
      <c r="F351" t="s">
        <v>21</v>
      </c>
      <c r="G351">
        <v>3</v>
      </c>
      <c r="H351" s="3">
        <v>85</v>
      </c>
      <c r="I351" s="4">
        <v>0.05</v>
      </c>
      <c r="J351" s="3">
        <f>G351*H351*(1-I351)</f>
        <v>0</v>
      </c>
      <c r="K351" s="3">
        <f>G351*H351*0.65</f>
        <v>0</v>
      </c>
      <c r="L351" s="3">
        <f>J351-K351</f>
        <v>0</v>
      </c>
    </row>
    <row r="352" spans="1:12">
      <c r="A352" t="s">
        <v>415</v>
      </c>
      <c r="B352" s="2">
        <v>44779</v>
      </c>
      <c r="C352" t="s">
        <v>43</v>
      </c>
      <c r="D352" t="s">
        <v>23</v>
      </c>
      <c r="E352" t="s">
        <v>68</v>
      </c>
      <c r="F352" t="s">
        <v>240</v>
      </c>
      <c r="G352">
        <v>4</v>
      </c>
      <c r="H352" s="3">
        <v>49</v>
      </c>
      <c r="I352" s="4">
        <v>0</v>
      </c>
      <c r="J352" s="3">
        <f>G352*H352*(1-I352)</f>
        <v>0</v>
      </c>
      <c r="K352" s="3">
        <f>G352*H352*0.65</f>
        <v>0</v>
      </c>
      <c r="L352" s="3">
        <f>J352-K352</f>
        <v>0</v>
      </c>
    </row>
    <row r="353" spans="1:12">
      <c r="A353" t="s">
        <v>416</v>
      </c>
      <c r="B353" s="2">
        <v>45035</v>
      </c>
      <c r="C353" t="s">
        <v>35</v>
      </c>
      <c r="D353" t="s">
        <v>14</v>
      </c>
      <c r="E353" t="s">
        <v>57</v>
      </c>
      <c r="F353" t="s">
        <v>58</v>
      </c>
      <c r="G353">
        <v>10</v>
      </c>
      <c r="H353" s="3">
        <v>70</v>
      </c>
      <c r="I353" s="4">
        <v>0.05</v>
      </c>
      <c r="J353" s="3">
        <f>G353*H353*(1-I353)</f>
        <v>0</v>
      </c>
      <c r="K353" s="3">
        <f>G353*H353*0.65</f>
        <v>0</v>
      </c>
      <c r="L353" s="3">
        <f>J353-K353</f>
        <v>0</v>
      </c>
    </row>
    <row r="354" spans="1:12">
      <c r="A354" t="s">
        <v>417</v>
      </c>
      <c r="B354" s="2">
        <v>44993</v>
      </c>
      <c r="C354" t="s">
        <v>55</v>
      </c>
      <c r="D354" t="s">
        <v>14</v>
      </c>
      <c r="E354" t="s">
        <v>15</v>
      </c>
      <c r="F354" t="s">
        <v>80</v>
      </c>
      <c r="G354">
        <v>9</v>
      </c>
      <c r="H354" s="3">
        <v>75</v>
      </c>
      <c r="I354" s="4">
        <v>0.05</v>
      </c>
      <c r="J354" s="3">
        <f>G354*H354*(1-I354)</f>
        <v>0</v>
      </c>
      <c r="K354" s="3">
        <f>G354*H354*0.65</f>
        <v>0</v>
      </c>
      <c r="L354" s="3">
        <f>J354-K354</f>
        <v>0</v>
      </c>
    </row>
    <row r="355" spans="1:12">
      <c r="A355" t="s">
        <v>418</v>
      </c>
      <c r="B355" s="2">
        <v>44902</v>
      </c>
      <c r="C355" t="s">
        <v>43</v>
      </c>
      <c r="D355" t="s">
        <v>14</v>
      </c>
      <c r="E355" t="s">
        <v>27</v>
      </c>
      <c r="F355" t="s">
        <v>101</v>
      </c>
      <c r="G355">
        <v>6</v>
      </c>
      <c r="H355" s="3">
        <v>41</v>
      </c>
      <c r="I355" s="4">
        <v>0</v>
      </c>
      <c r="J355" s="3">
        <f>G355*H355*(1-I355)</f>
        <v>0</v>
      </c>
      <c r="K355" s="3">
        <f>G355*H355*0.65</f>
        <v>0</v>
      </c>
      <c r="L355" s="3">
        <f>J355-K355</f>
        <v>0</v>
      </c>
    </row>
    <row r="356" spans="1:12">
      <c r="A356" t="s">
        <v>419</v>
      </c>
      <c r="B356" s="2">
        <v>45112</v>
      </c>
      <c r="C356" t="s">
        <v>13</v>
      </c>
      <c r="D356" t="s">
        <v>14</v>
      </c>
      <c r="E356" t="s">
        <v>27</v>
      </c>
      <c r="F356" t="s">
        <v>63</v>
      </c>
      <c r="G356">
        <v>5</v>
      </c>
      <c r="H356" s="3">
        <v>99</v>
      </c>
      <c r="I356" s="4">
        <v>0.15</v>
      </c>
      <c r="J356" s="3">
        <f>G356*H356*(1-I356)</f>
        <v>0</v>
      </c>
      <c r="K356" s="3">
        <f>G356*H356*0.65</f>
        <v>0</v>
      </c>
      <c r="L356" s="3">
        <f>J356-K356</f>
        <v>0</v>
      </c>
    </row>
    <row r="357" spans="1:12">
      <c r="A357" t="s">
        <v>420</v>
      </c>
      <c r="B357" s="2">
        <v>44918</v>
      </c>
      <c r="C357" t="s">
        <v>35</v>
      </c>
      <c r="D357" t="s">
        <v>23</v>
      </c>
      <c r="E357" t="s">
        <v>68</v>
      </c>
      <c r="F357" t="s">
        <v>93</v>
      </c>
      <c r="G357">
        <v>3</v>
      </c>
      <c r="H357" s="3">
        <v>166</v>
      </c>
      <c r="I357" s="4">
        <v>0.05</v>
      </c>
      <c r="J357" s="3">
        <f>G357*H357*(1-I357)</f>
        <v>0</v>
      </c>
      <c r="K357" s="3">
        <f>G357*H357*0.65</f>
        <v>0</v>
      </c>
      <c r="L357" s="3">
        <f>J357-K357</f>
        <v>0</v>
      </c>
    </row>
    <row r="358" spans="1:12">
      <c r="A358" t="s">
        <v>421</v>
      </c>
      <c r="B358" s="2">
        <v>44584</v>
      </c>
      <c r="C358" t="s">
        <v>43</v>
      </c>
      <c r="D358" t="s">
        <v>14</v>
      </c>
      <c r="E358" t="s">
        <v>15</v>
      </c>
      <c r="F358" t="s">
        <v>80</v>
      </c>
      <c r="G358">
        <v>9</v>
      </c>
      <c r="H358" s="3">
        <v>144</v>
      </c>
      <c r="I358" s="4">
        <v>0</v>
      </c>
      <c r="J358" s="3">
        <f>G358*H358*(1-I358)</f>
        <v>0</v>
      </c>
      <c r="K358" s="3">
        <f>G358*H358*0.65</f>
        <v>0</v>
      </c>
      <c r="L358" s="3">
        <f>J358-K358</f>
        <v>0</v>
      </c>
    </row>
    <row r="359" spans="1:12">
      <c r="A359" t="s">
        <v>422</v>
      </c>
      <c r="B359" s="2">
        <v>45083</v>
      </c>
      <c r="C359" t="s">
        <v>18</v>
      </c>
      <c r="D359" t="s">
        <v>23</v>
      </c>
      <c r="E359" t="s">
        <v>36</v>
      </c>
      <c r="F359" t="s">
        <v>37</v>
      </c>
      <c r="G359">
        <v>5</v>
      </c>
      <c r="H359" s="3">
        <v>48</v>
      </c>
      <c r="I359" s="4">
        <v>0.05</v>
      </c>
      <c r="J359" s="3">
        <f>G359*H359*(1-I359)</f>
        <v>0</v>
      </c>
      <c r="K359" s="3">
        <f>G359*H359*0.65</f>
        <v>0</v>
      </c>
      <c r="L359" s="3">
        <f>J359-K359</f>
        <v>0</v>
      </c>
    </row>
    <row r="360" spans="1:12">
      <c r="A360" t="s">
        <v>423</v>
      </c>
      <c r="B360" s="2">
        <v>45363</v>
      </c>
      <c r="C360" t="s">
        <v>55</v>
      </c>
      <c r="D360" t="s">
        <v>23</v>
      </c>
      <c r="E360" t="s">
        <v>68</v>
      </c>
      <c r="F360" t="s">
        <v>93</v>
      </c>
      <c r="G360">
        <v>5</v>
      </c>
      <c r="H360" s="3">
        <v>303</v>
      </c>
      <c r="I360" s="4">
        <v>0.1</v>
      </c>
      <c r="J360" s="3">
        <f>G360*H360*(1-I360)</f>
        <v>0</v>
      </c>
      <c r="K360" s="3">
        <f>G360*H360*0.65</f>
        <v>0</v>
      </c>
      <c r="L360" s="3">
        <f>J360-K360</f>
        <v>0</v>
      </c>
    </row>
    <row r="361" spans="1:12">
      <c r="A361" t="s">
        <v>424</v>
      </c>
      <c r="B361" s="2">
        <v>45323</v>
      </c>
      <c r="C361" t="s">
        <v>43</v>
      </c>
      <c r="D361" t="s">
        <v>23</v>
      </c>
      <c r="E361" t="s">
        <v>36</v>
      </c>
      <c r="F361" t="s">
        <v>37</v>
      </c>
      <c r="G361">
        <v>14</v>
      </c>
      <c r="H361" s="3">
        <v>77</v>
      </c>
      <c r="I361" s="4">
        <v>0.1</v>
      </c>
      <c r="J361" s="3">
        <f>G361*H361*(1-I361)</f>
        <v>0</v>
      </c>
      <c r="K361" s="3">
        <f>G361*H361*0.65</f>
        <v>0</v>
      </c>
      <c r="L361" s="3">
        <f>J361-K361</f>
        <v>0</v>
      </c>
    </row>
    <row r="362" spans="1:12">
      <c r="A362" t="s">
        <v>425</v>
      </c>
      <c r="B362" s="2">
        <v>45003</v>
      </c>
      <c r="C362" t="s">
        <v>35</v>
      </c>
      <c r="D362" t="s">
        <v>23</v>
      </c>
      <c r="E362" t="s">
        <v>68</v>
      </c>
      <c r="F362" t="s">
        <v>152</v>
      </c>
      <c r="G362">
        <v>4</v>
      </c>
      <c r="H362" s="3">
        <v>257</v>
      </c>
      <c r="I362" s="4">
        <v>0</v>
      </c>
      <c r="J362" s="3">
        <f>G362*H362*(1-I362)</f>
        <v>0</v>
      </c>
      <c r="K362" s="3">
        <f>G362*H362*0.65</f>
        <v>0</v>
      </c>
      <c r="L362" s="3">
        <f>J362-K362</f>
        <v>0</v>
      </c>
    </row>
    <row r="363" spans="1:12">
      <c r="A363" t="s">
        <v>426</v>
      </c>
      <c r="B363" s="2">
        <v>45330</v>
      </c>
      <c r="C363" t="s">
        <v>18</v>
      </c>
      <c r="D363" t="s">
        <v>19</v>
      </c>
      <c r="E363" t="s">
        <v>30</v>
      </c>
      <c r="F363" t="s">
        <v>83</v>
      </c>
      <c r="G363">
        <v>14</v>
      </c>
      <c r="H363" s="3">
        <v>137</v>
      </c>
      <c r="I363" s="4">
        <v>0.15</v>
      </c>
      <c r="J363" s="3">
        <f>G363*H363*(1-I363)</f>
        <v>0</v>
      </c>
      <c r="K363" s="3">
        <f>G363*H363*0.65</f>
        <v>0</v>
      </c>
      <c r="L363" s="3">
        <f>J363-K363</f>
        <v>0</v>
      </c>
    </row>
    <row r="364" spans="1:12">
      <c r="A364" t="s">
        <v>427</v>
      </c>
      <c r="B364" s="2">
        <v>45577</v>
      </c>
      <c r="C364" t="s">
        <v>35</v>
      </c>
      <c r="D364" t="s">
        <v>19</v>
      </c>
      <c r="E364" t="s">
        <v>30</v>
      </c>
      <c r="F364" t="s">
        <v>39</v>
      </c>
      <c r="G364">
        <v>4</v>
      </c>
      <c r="H364" s="3">
        <v>81</v>
      </c>
      <c r="I364" s="4">
        <v>0.05</v>
      </c>
      <c r="J364" s="3">
        <f>G364*H364*(1-I364)</f>
        <v>0</v>
      </c>
      <c r="K364" s="3">
        <f>G364*H364*0.65</f>
        <v>0</v>
      </c>
      <c r="L364" s="3">
        <f>J364-K364</f>
        <v>0</v>
      </c>
    </row>
    <row r="365" spans="1:12">
      <c r="A365" t="s">
        <v>428</v>
      </c>
      <c r="B365" s="2">
        <v>45077</v>
      </c>
      <c r="C365" t="s">
        <v>35</v>
      </c>
      <c r="D365" t="s">
        <v>14</v>
      </c>
      <c r="E365" t="s">
        <v>27</v>
      </c>
      <c r="F365" t="s">
        <v>140</v>
      </c>
      <c r="G365">
        <v>12</v>
      </c>
      <c r="H365" s="3">
        <v>125</v>
      </c>
      <c r="I365" s="4">
        <v>0</v>
      </c>
      <c r="J365" s="3">
        <f>G365*H365*(1-I365)</f>
        <v>0</v>
      </c>
      <c r="K365" s="3">
        <f>G365*H365*0.65</f>
        <v>0</v>
      </c>
      <c r="L365" s="3">
        <f>J365-K365</f>
        <v>0</v>
      </c>
    </row>
    <row r="366" spans="1:12">
      <c r="A366" t="s">
        <v>429</v>
      </c>
      <c r="B366" s="2">
        <v>45601</v>
      </c>
      <c r="C366" t="s">
        <v>18</v>
      </c>
      <c r="D366" t="s">
        <v>19</v>
      </c>
      <c r="E366" t="s">
        <v>30</v>
      </c>
      <c r="F366" t="s">
        <v>39</v>
      </c>
      <c r="G366">
        <v>1</v>
      </c>
      <c r="H366" s="3">
        <v>99</v>
      </c>
      <c r="I366" s="4">
        <v>0</v>
      </c>
      <c r="J366" s="3">
        <f>G366*H366*(1-I366)</f>
        <v>0</v>
      </c>
      <c r="K366" s="3">
        <f>G366*H366*0.65</f>
        <v>0</v>
      </c>
      <c r="L366" s="3">
        <f>J366-K366</f>
        <v>0</v>
      </c>
    </row>
    <row r="367" spans="1:12">
      <c r="A367" t="s">
        <v>430</v>
      </c>
      <c r="B367" s="2">
        <v>45353</v>
      </c>
      <c r="C367" t="s">
        <v>35</v>
      </c>
      <c r="D367" t="s">
        <v>19</v>
      </c>
      <c r="E367" t="s">
        <v>45</v>
      </c>
      <c r="F367" t="s">
        <v>86</v>
      </c>
      <c r="G367">
        <v>7</v>
      </c>
      <c r="H367" s="3">
        <v>84</v>
      </c>
      <c r="I367" s="4">
        <v>0</v>
      </c>
      <c r="J367" s="3">
        <f>G367*H367*(1-I367)</f>
        <v>0</v>
      </c>
      <c r="K367" s="3">
        <f>G367*H367*0.65</f>
        <v>0</v>
      </c>
      <c r="L367" s="3">
        <f>J367-K367</f>
        <v>0</v>
      </c>
    </row>
    <row r="368" spans="1:12">
      <c r="A368" t="s">
        <v>431</v>
      </c>
      <c r="B368" s="2">
        <v>44897</v>
      </c>
      <c r="C368" t="s">
        <v>18</v>
      </c>
      <c r="D368" t="s">
        <v>14</v>
      </c>
      <c r="E368" t="s">
        <v>57</v>
      </c>
      <c r="F368" t="s">
        <v>121</v>
      </c>
      <c r="G368">
        <v>9</v>
      </c>
      <c r="H368" s="3">
        <v>129</v>
      </c>
      <c r="I368" s="4">
        <v>0.1</v>
      </c>
      <c r="J368" s="3">
        <f>G368*H368*(1-I368)</f>
        <v>0</v>
      </c>
      <c r="K368" s="3">
        <f>G368*H368*0.65</f>
        <v>0</v>
      </c>
      <c r="L368" s="3">
        <f>J368-K368</f>
        <v>0</v>
      </c>
    </row>
    <row r="369" spans="1:12">
      <c r="A369" t="s">
        <v>432</v>
      </c>
      <c r="B369" s="2">
        <v>44819</v>
      </c>
      <c r="C369" t="s">
        <v>43</v>
      </c>
      <c r="D369" t="s">
        <v>14</v>
      </c>
      <c r="E369" t="s">
        <v>57</v>
      </c>
      <c r="F369" t="s">
        <v>65</v>
      </c>
      <c r="G369">
        <v>3</v>
      </c>
      <c r="H369" s="3">
        <v>131</v>
      </c>
      <c r="I369" s="4">
        <v>0</v>
      </c>
      <c r="J369" s="3">
        <f>G369*H369*(1-I369)</f>
        <v>0</v>
      </c>
      <c r="K369" s="3">
        <f>G369*H369*0.65</f>
        <v>0</v>
      </c>
      <c r="L369" s="3">
        <f>J369-K369</f>
        <v>0</v>
      </c>
    </row>
    <row r="370" spans="1:12">
      <c r="A370" t="s">
        <v>433</v>
      </c>
      <c r="B370" s="2">
        <v>45058</v>
      </c>
      <c r="C370" t="s">
        <v>18</v>
      </c>
      <c r="D370" t="s">
        <v>14</v>
      </c>
      <c r="E370" t="s">
        <v>57</v>
      </c>
      <c r="F370" t="s">
        <v>65</v>
      </c>
      <c r="G370">
        <v>12</v>
      </c>
      <c r="H370" s="3">
        <v>104</v>
      </c>
      <c r="I370" s="4">
        <v>0</v>
      </c>
      <c r="J370" s="3">
        <f>G370*H370*(1-I370)</f>
        <v>0</v>
      </c>
      <c r="K370" s="3">
        <f>G370*H370*0.65</f>
        <v>0</v>
      </c>
      <c r="L370" s="3">
        <f>J370-K370</f>
        <v>0</v>
      </c>
    </row>
    <row r="371" spans="1:12">
      <c r="A371" t="s">
        <v>434</v>
      </c>
      <c r="B371" s="2">
        <v>45457</v>
      </c>
      <c r="C371" t="s">
        <v>18</v>
      </c>
      <c r="D371" t="s">
        <v>19</v>
      </c>
      <c r="E371" t="s">
        <v>45</v>
      </c>
      <c r="F371" t="s">
        <v>86</v>
      </c>
      <c r="G371">
        <v>13</v>
      </c>
      <c r="H371" s="3">
        <v>62</v>
      </c>
      <c r="I371" s="4">
        <v>0.1</v>
      </c>
      <c r="J371" s="3">
        <f>G371*H371*(1-I371)</f>
        <v>0</v>
      </c>
      <c r="K371" s="3">
        <f>G371*H371*0.65</f>
        <v>0</v>
      </c>
      <c r="L371" s="3">
        <f>J371-K371</f>
        <v>0</v>
      </c>
    </row>
    <row r="372" spans="1:12">
      <c r="A372" t="s">
        <v>435</v>
      </c>
      <c r="B372" s="2">
        <v>44721</v>
      </c>
      <c r="C372" t="s">
        <v>55</v>
      </c>
      <c r="D372" t="s">
        <v>19</v>
      </c>
      <c r="E372" t="s">
        <v>30</v>
      </c>
      <c r="F372" t="s">
        <v>39</v>
      </c>
      <c r="G372">
        <v>2</v>
      </c>
      <c r="H372" s="3">
        <v>91</v>
      </c>
      <c r="I372" s="4">
        <v>0</v>
      </c>
      <c r="J372" s="3">
        <f>G372*H372*(1-I372)</f>
        <v>0</v>
      </c>
      <c r="K372" s="3">
        <f>G372*H372*0.65</f>
        <v>0</v>
      </c>
      <c r="L372" s="3">
        <f>J372-K372</f>
        <v>0</v>
      </c>
    </row>
    <row r="373" spans="1:12">
      <c r="A373" t="s">
        <v>436</v>
      </c>
      <c r="B373" s="2">
        <v>45413</v>
      </c>
      <c r="C373" t="s">
        <v>18</v>
      </c>
      <c r="D373" t="s">
        <v>14</v>
      </c>
      <c r="E373" t="s">
        <v>15</v>
      </c>
      <c r="F373" t="s">
        <v>80</v>
      </c>
      <c r="G373">
        <v>3</v>
      </c>
      <c r="H373" s="3">
        <v>117</v>
      </c>
      <c r="I373" s="4">
        <v>0</v>
      </c>
      <c r="J373" s="3">
        <f>G373*H373*(1-I373)</f>
        <v>0</v>
      </c>
      <c r="K373" s="3">
        <f>G373*H373*0.65</f>
        <v>0</v>
      </c>
      <c r="L373" s="3">
        <f>J373-K373</f>
        <v>0</v>
      </c>
    </row>
    <row r="374" spans="1:12">
      <c r="A374" t="s">
        <v>437</v>
      </c>
      <c r="B374" s="2">
        <v>45251</v>
      </c>
      <c r="C374" t="s">
        <v>18</v>
      </c>
      <c r="D374" t="s">
        <v>23</v>
      </c>
      <c r="E374" t="s">
        <v>36</v>
      </c>
      <c r="F374" t="s">
        <v>37</v>
      </c>
      <c r="G374">
        <v>1</v>
      </c>
      <c r="H374" s="3">
        <v>52</v>
      </c>
      <c r="I374" s="4">
        <v>0</v>
      </c>
      <c r="J374" s="3">
        <f>G374*H374*(1-I374)</f>
        <v>0</v>
      </c>
      <c r="K374" s="3">
        <f>G374*H374*0.65</f>
        <v>0</v>
      </c>
      <c r="L374" s="3">
        <f>J374-K374</f>
        <v>0</v>
      </c>
    </row>
    <row r="375" spans="1:12">
      <c r="A375" t="s">
        <v>438</v>
      </c>
      <c r="B375" s="2">
        <v>44941</v>
      </c>
      <c r="C375" t="s">
        <v>43</v>
      </c>
      <c r="D375" t="s">
        <v>14</v>
      </c>
      <c r="E375" t="s">
        <v>57</v>
      </c>
      <c r="F375" t="s">
        <v>149</v>
      </c>
      <c r="G375">
        <v>6</v>
      </c>
      <c r="H375" s="3">
        <v>19</v>
      </c>
      <c r="I375" s="4">
        <v>0</v>
      </c>
      <c r="J375" s="3">
        <f>G375*H375*(1-I375)</f>
        <v>0</v>
      </c>
      <c r="K375" s="3">
        <f>G375*H375*0.65</f>
        <v>0</v>
      </c>
      <c r="L375" s="3">
        <f>J375-K375</f>
        <v>0</v>
      </c>
    </row>
    <row r="376" spans="1:12">
      <c r="A376" t="s">
        <v>439</v>
      </c>
      <c r="B376" s="2">
        <v>45518</v>
      </c>
      <c r="C376" t="s">
        <v>55</v>
      </c>
      <c r="D376" t="s">
        <v>23</v>
      </c>
      <c r="E376" t="s">
        <v>68</v>
      </c>
      <c r="F376" t="s">
        <v>93</v>
      </c>
      <c r="G376">
        <v>11</v>
      </c>
      <c r="H376" s="3">
        <v>304</v>
      </c>
      <c r="I376" s="4">
        <v>0</v>
      </c>
      <c r="J376" s="3">
        <f>G376*H376*(1-I376)</f>
        <v>0</v>
      </c>
      <c r="K376" s="3">
        <f>G376*H376*0.65</f>
        <v>0</v>
      </c>
      <c r="L376" s="3">
        <f>J376-K376</f>
        <v>0</v>
      </c>
    </row>
    <row r="377" spans="1:12">
      <c r="A377" t="s">
        <v>440</v>
      </c>
      <c r="B377" s="2">
        <v>45252</v>
      </c>
      <c r="C377" t="s">
        <v>13</v>
      </c>
      <c r="D377" t="s">
        <v>23</v>
      </c>
      <c r="E377" t="s">
        <v>68</v>
      </c>
      <c r="F377" t="s">
        <v>152</v>
      </c>
      <c r="G377">
        <v>11</v>
      </c>
      <c r="H377" s="3">
        <v>352</v>
      </c>
      <c r="I377" s="4">
        <v>0.05</v>
      </c>
      <c r="J377" s="3">
        <f>G377*H377*(1-I377)</f>
        <v>0</v>
      </c>
      <c r="K377" s="3">
        <f>G377*H377*0.65</f>
        <v>0</v>
      </c>
      <c r="L377" s="3">
        <f>J377-K377</f>
        <v>0</v>
      </c>
    </row>
    <row r="378" spans="1:12">
      <c r="A378" t="s">
        <v>441</v>
      </c>
      <c r="B378" s="2">
        <v>45628</v>
      </c>
      <c r="C378" t="s">
        <v>43</v>
      </c>
      <c r="D378" t="s">
        <v>14</v>
      </c>
      <c r="E378" t="s">
        <v>15</v>
      </c>
      <c r="F378" t="s">
        <v>16</v>
      </c>
      <c r="G378">
        <v>7</v>
      </c>
      <c r="H378" s="3">
        <v>23</v>
      </c>
      <c r="I378" s="4">
        <v>0</v>
      </c>
      <c r="J378" s="3">
        <f>G378*H378*(1-I378)</f>
        <v>0</v>
      </c>
      <c r="K378" s="3">
        <f>G378*H378*0.65</f>
        <v>0</v>
      </c>
      <c r="L378" s="3">
        <f>J378-K378</f>
        <v>0</v>
      </c>
    </row>
    <row r="379" spans="1:12">
      <c r="A379" t="s">
        <v>442</v>
      </c>
      <c r="B379" s="2">
        <v>44846</v>
      </c>
      <c r="C379" t="s">
        <v>43</v>
      </c>
      <c r="D379" t="s">
        <v>14</v>
      </c>
      <c r="E379" t="s">
        <v>15</v>
      </c>
      <c r="F379" t="s">
        <v>80</v>
      </c>
      <c r="G379">
        <v>11</v>
      </c>
      <c r="H379" s="3">
        <v>143</v>
      </c>
      <c r="I379" s="4">
        <v>0</v>
      </c>
      <c r="J379" s="3">
        <f>G379*H379*(1-I379)</f>
        <v>0</v>
      </c>
      <c r="K379" s="3">
        <f>G379*H379*0.65</f>
        <v>0</v>
      </c>
      <c r="L379" s="3">
        <f>J379-K379</f>
        <v>0</v>
      </c>
    </row>
    <row r="380" spans="1:12">
      <c r="A380" t="s">
        <v>443</v>
      </c>
      <c r="B380" s="2">
        <v>44958</v>
      </c>
      <c r="C380" t="s">
        <v>13</v>
      </c>
      <c r="D380" t="s">
        <v>14</v>
      </c>
      <c r="E380" t="s">
        <v>15</v>
      </c>
      <c r="F380" t="s">
        <v>16</v>
      </c>
      <c r="G380">
        <v>11</v>
      </c>
      <c r="H380" s="3">
        <v>21</v>
      </c>
      <c r="I380" s="4">
        <v>0.1</v>
      </c>
      <c r="J380" s="3">
        <f>G380*H380*(1-I380)</f>
        <v>0</v>
      </c>
      <c r="K380" s="3">
        <f>G380*H380*0.65</f>
        <v>0</v>
      </c>
      <c r="L380" s="3">
        <f>J380-K380</f>
        <v>0</v>
      </c>
    </row>
    <row r="381" spans="1:12">
      <c r="A381" t="s">
        <v>444</v>
      </c>
      <c r="B381" s="2">
        <v>44573</v>
      </c>
      <c r="C381" t="s">
        <v>18</v>
      </c>
      <c r="D381" t="s">
        <v>19</v>
      </c>
      <c r="E381" t="s">
        <v>20</v>
      </c>
      <c r="F381" t="s">
        <v>172</v>
      </c>
      <c r="G381">
        <v>2</v>
      </c>
      <c r="H381" s="3">
        <v>878</v>
      </c>
      <c r="I381" s="4">
        <v>0.05</v>
      </c>
      <c r="J381" s="3">
        <f>G381*H381*(1-I381)</f>
        <v>0</v>
      </c>
      <c r="K381" s="3">
        <f>G381*H381*0.65</f>
        <v>0</v>
      </c>
      <c r="L381" s="3">
        <f>J381-K381</f>
        <v>0</v>
      </c>
    </row>
    <row r="382" spans="1:12">
      <c r="A382" t="s">
        <v>445</v>
      </c>
      <c r="B382" s="2">
        <v>45060</v>
      </c>
      <c r="C382" t="s">
        <v>35</v>
      </c>
      <c r="D382" t="s">
        <v>23</v>
      </c>
      <c r="E382" t="s">
        <v>36</v>
      </c>
      <c r="F382" t="s">
        <v>41</v>
      </c>
      <c r="G382">
        <v>8</v>
      </c>
      <c r="H382" s="3">
        <v>82</v>
      </c>
      <c r="I382" s="4">
        <v>0.05</v>
      </c>
      <c r="J382" s="3">
        <f>G382*H382*(1-I382)</f>
        <v>0</v>
      </c>
      <c r="K382" s="3">
        <f>G382*H382*0.65</f>
        <v>0</v>
      </c>
      <c r="L382" s="3">
        <f>J382-K382</f>
        <v>0</v>
      </c>
    </row>
    <row r="383" spans="1:12">
      <c r="A383" t="s">
        <v>446</v>
      </c>
      <c r="B383" s="2">
        <v>45315</v>
      </c>
      <c r="C383" t="s">
        <v>55</v>
      </c>
      <c r="D383" t="s">
        <v>19</v>
      </c>
      <c r="E383" t="s">
        <v>30</v>
      </c>
      <c r="F383" t="s">
        <v>39</v>
      </c>
      <c r="G383">
        <v>14</v>
      </c>
      <c r="H383" s="3">
        <v>107</v>
      </c>
      <c r="I383" s="4">
        <v>0.05</v>
      </c>
      <c r="J383" s="3">
        <f>G383*H383*(1-I383)</f>
        <v>0</v>
      </c>
      <c r="K383" s="3">
        <f>G383*H383*0.65</f>
        <v>0</v>
      </c>
      <c r="L383" s="3">
        <f>J383-K383</f>
        <v>0</v>
      </c>
    </row>
    <row r="384" spans="1:12">
      <c r="A384" t="s">
        <v>447</v>
      </c>
      <c r="B384" s="2">
        <v>44596</v>
      </c>
      <c r="C384" t="s">
        <v>35</v>
      </c>
      <c r="D384" t="s">
        <v>19</v>
      </c>
      <c r="E384" t="s">
        <v>45</v>
      </c>
      <c r="F384" t="s">
        <v>97</v>
      </c>
      <c r="G384">
        <v>6</v>
      </c>
      <c r="H384" s="3">
        <v>120</v>
      </c>
      <c r="I384" s="4">
        <v>0</v>
      </c>
      <c r="J384" s="3">
        <f>G384*H384*(1-I384)</f>
        <v>0</v>
      </c>
      <c r="K384" s="3">
        <f>G384*H384*0.65</f>
        <v>0</v>
      </c>
      <c r="L384" s="3">
        <f>J384-K384</f>
        <v>0</v>
      </c>
    </row>
    <row r="385" spans="1:12">
      <c r="A385" t="s">
        <v>448</v>
      </c>
      <c r="B385" s="2">
        <v>45288</v>
      </c>
      <c r="C385" t="s">
        <v>13</v>
      </c>
      <c r="D385" t="s">
        <v>14</v>
      </c>
      <c r="E385" t="s">
        <v>57</v>
      </c>
      <c r="F385" t="s">
        <v>65</v>
      </c>
      <c r="G385">
        <v>14</v>
      </c>
      <c r="H385" s="3">
        <v>111</v>
      </c>
      <c r="I385" s="4">
        <v>0.05</v>
      </c>
      <c r="J385" s="3">
        <f>G385*H385*(1-I385)</f>
        <v>0</v>
      </c>
      <c r="K385" s="3">
        <f>G385*H385*0.65</f>
        <v>0</v>
      </c>
      <c r="L385" s="3">
        <f>J385-K385</f>
        <v>0</v>
      </c>
    </row>
    <row r="386" spans="1:12">
      <c r="A386" t="s">
        <v>449</v>
      </c>
      <c r="B386" s="2">
        <v>45410</v>
      </c>
      <c r="C386" t="s">
        <v>43</v>
      </c>
      <c r="D386" t="s">
        <v>19</v>
      </c>
      <c r="E386" t="s">
        <v>45</v>
      </c>
      <c r="F386" t="s">
        <v>99</v>
      </c>
      <c r="G386">
        <v>4</v>
      </c>
      <c r="H386" s="3">
        <v>121</v>
      </c>
      <c r="I386" s="4">
        <v>0.05</v>
      </c>
      <c r="J386" s="3">
        <f>G386*H386*(1-I386)</f>
        <v>0</v>
      </c>
      <c r="K386" s="3">
        <f>G386*H386*0.65</f>
        <v>0</v>
      </c>
      <c r="L386" s="3">
        <f>J386-K386</f>
        <v>0</v>
      </c>
    </row>
    <row r="387" spans="1:12">
      <c r="A387" t="s">
        <v>450</v>
      </c>
      <c r="B387" s="2">
        <v>44651</v>
      </c>
      <c r="C387" t="s">
        <v>43</v>
      </c>
      <c r="D387" t="s">
        <v>14</v>
      </c>
      <c r="E387" t="s">
        <v>15</v>
      </c>
      <c r="F387" t="s">
        <v>33</v>
      </c>
      <c r="G387">
        <v>5</v>
      </c>
      <c r="H387" s="3">
        <v>80</v>
      </c>
      <c r="I387" s="4">
        <v>0</v>
      </c>
      <c r="J387" s="3">
        <f>G387*H387*(1-I387)</f>
        <v>0</v>
      </c>
      <c r="K387" s="3">
        <f>G387*H387*0.65</f>
        <v>0</v>
      </c>
      <c r="L387" s="3">
        <f>J387-K387</f>
        <v>0</v>
      </c>
    </row>
    <row r="388" spans="1:12">
      <c r="A388" t="s">
        <v>451</v>
      </c>
      <c r="B388" s="2">
        <v>45337</v>
      </c>
      <c r="C388" t="s">
        <v>55</v>
      </c>
      <c r="D388" t="s">
        <v>23</v>
      </c>
      <c r="E388" t="s">
        <v>68</v>
      </c>
      <c r="F388" t="s">
        <v>152</v>
      </c>
      <c r="G388">
        <v>8</v>
      </c>
      <c r="H388" s="3">
        <v>324</v>
      </c>
      <c r="I388" s="4">
        <v>0.15</v>
      </c>
      <c r="J388" s="3">
        <f>G388*H388*(1-I388)</f>
        <v>0</v>
      </c>
      <c r="K388" s="3">
        <f>G388*H388*0.65</f>
        <v>0</v>
      </c>
      <c r="L388" s="3">
        <f>J388-K388</f>
        <v>0</v>
      </c>
    </row>
    <row r="389" spans="1:12">
      <c r="A389" t="s">
        <v>452</v>
      </c>
      <c r="B389" s="2">
        <v>45166</v>
      </c>
      <c r="C389" t="s">
        <v>43</v>
      </c>
      <c r="D389" t="s">
        <v>14</v>
      </c>
      <c r="E389" t="s">
        <v>27</v>
      </c>
      <c r="F389" t="s">
        <v>28</v>
      </c>
      <c r="G389">
        <v>14</v>
      </c>
      <c r="H389" s="3">
        <v>140</v>
      </c>
      <c r="I389" s="4">
        <v>0</v>
      </c>
      <c r="J389" s="3">
        <f>G389*H389*(1-I389)</f>
        <v>0</v>
      </c>
      <c r="K389" s="3">
        <f>G389*H389*0.65</f>
        <v>0</v>
      </c>
      <c r="L389" s="3">
        <f>J389-K389</f>
        <v>0</v>
      </c>
    </row>
    <row r="390" spans="1:12">
      <c r="A390" t="s">
        <v>453</v>
      </c>
      <c r="B390" s="2">
        <v>45531</v>
      </c>
      <c r="C390" t="s">
        <v>43</v>
      </c>
      <c r="D390" t="s">
        <v>19</v>
      </c>
      <c r="E390" t="s">
        <v>30</v>
      </c>
      <c r="F390" t="s">
        <v>83</v>
      </c>
      <c r="G390">
        <v>3</v>
      </c>
      <c r="H390" s="3">
        <v>33</v>
      </c>
      <c r="I390" s="4">
        <v>0.1</v>
      </c>
      <c r="J390" s="3">
        <f>G390*H390*(1-I390)</f>
        <v>0</v>
      </c>
      <c r="K390" s="3">
        <f>G390*H390*0.65</f>
        <v>0</v>
      </c>
      <c r="L390" s="3">
        <f>J390-K390</f>
        <v>0</v>
      </c>
    </row>
    <row r="391" spans="1:12">
      <c r="A391" t="s">
        <v>454</v>
      </c>
      <c r="B391" s="2">
        <v>45583</v>
      </c>
      <c r="C391" t="s">
        <v>55</v>
      </c>
      <c r="D391" t="s">
        <v>19</v>
      </c>
      <c r="E391" t="s">
        <v>30</v>
      </c>
      <c r="F391" t="s">
        <v>39</v>
      </c>
      <c r="G391">
        <v>3</v>
      </c>
      <c r="H391" s="3">
        <v>36</v>
      </c>
      <c r="I391" s="4">
        <v>0</v>
      </c>
      <c r="J391" s="3">
        <f>G391*H391*(1-I391)</f>
        <v>0</v>
      </c>
      <c r="K391" s="3">
        <f>G391*H391*0.65</f>
        <v>0</v>
      </c>
      <c r="L391" s="3">
        <f>J391-K391</f>
        <v>0</v>
      </c>
    </row>
    <row r="392" spans="1:12">
      <c r="A392" t="s">
        <v>455</v>
      </c>
      <c r="B392" s="2">
        <v>44979</v>
      </c>
      <c r="C392" t="s">
        <v>55</v>
      </c>
      <c r="D392" t="s">
        <v>14</v>
      </c>
      <c r="E392" t="s">
        <v>15</v>
      </c>
      <c r="F392" t="s">
        <v>33</v>
      </c>
      <c r="G392">
        <v>14</v>
      </c>
      <c r="H392" s="3">
        <v>138</v>
      </c>
      <c r="I392" s="4">
        <v>0.1</v>
      </c>
      <c r="J392" s="3">
        <f>G392*H392*(1-I392)</f>
        <v>0</v>
      </c>
      <c r="K392" s="3">
        <f>G392*H392*0.65</f>
        <v>0</v>
      </c>
      <c r="L392" s="3">
        <f>J392-K392</f>
        <v>0</v>
      </c>
    </row>
    <row r="393" spans="1:12">
      <c r="A393" t="s">
        <v>456</v>
      </c>
      <c r="B393" s="2">
        <v>44676</v>
      </c>
      <c r="C393" t="s">
        <v>13</v>
      </c>
      <c r="D393" t="s">
        <v>14</v>
      </c>
      <c r="E393" t="s">
        <v>15</v>
      </c>
      <c r="F393" t="s">
        <v>115</v>
      </c>
      <c r="G393">
        <v>14</v>
      </c>
      <c r="H393" s="3">
        <v>64</v>
      </c>
      <c r="I393" s="4">
        <v>0.05</v>
      </c>
      <c r="J393" s="3">
        <f>G393*H393*(1-I393)</f>
        <v>0</v>
      </c>
      <c r="K393" s="3">
        <f>G393*H393*0.65</f>
        <v>0</v>
      </c>
      <c r="L393" s="3">
        <f>J393-K393</f>
        <v>0</v>
      </c>
    </row>
    <row r="394" spans="1:12">
      <c r="A394" t="s">
        <v>457</v>
      </c>
      <c r="B394" s="2">
        <v>45178</v>
      </c>
      <c r="C394" t="s">
        <v>43</v>
      </c>
      <c r="D394" t="s">
        <v>19</v>
      </c>
      <c r="E394" t="s">
        <v>30</v>
      </c>
      <c r="F394" t="s">
        <v>39</v>
      </c>
      <c r="G394">
        <v>11</v>
      </c>
      <c r="H394" s="3">
        <v>77</v>
      </c>
      <c r="I394" s="4">
        <v>0.1</v>
      </c>
      <c r="J394" s="3">
        <f>G394*H394*(1-I394)</f>
        <v>0</v>
      </c>
      <c r="K394" s="3">
        <f>G394*H394*0.65</f>
        <v>0</v>
      </c>
      <c r="L394" s="3">
        <f>J394-K394</f>
        <v>0</v>
      </c>
    </row>
    <row r="395" spans="1:12">
      <c r="A395" t="s">
        <v>458</v>
      </c>
      <c r="B395" s="2">
        <v>45387</v>
      </c>
      <c r="C395" t="s">
        <v>43</v>
      </c>
      <c r="D395" t="s">
        <v>23</v>
      </c>
      <c r="E395" t="s">
        <v>68</v>
      </c>
      <c r="F395" t="s">
        <v>69</v>
      </c>
      <c r="G395">
        <v>4</v>
      </c>
      <c r="H395" s="3">
        <v>102</v>
      </c>
      <c r="I395" s="4">
        <v>0</v>
      </c>
      <c r="J395" s="3">
        <f>G395*H395*(1-I395)</f>
        <v>0</v>
      </c>
      <c r="K395" s="3">
        <f>G395*H395*0.65</f>
        <v>0</v>
      </c>
      <c r="L395" s="3">
        <f>J395-K395</f>
        <v>0</v>
      </c>
    </row>
    <row r="396" spans="1:12">
      <c r="A396" t="s">
        <v>459</v>
      </c>
      <c r="B396" s="2">
        <v>44974</v>
      </c>
      <c r="C396" t="s">
        <v>13</v>
      </c>
      <c r="D396" t="s">
        <v>23</v>
      </c>
      <c r="E396" t="s">
        <v>24</v>
      </c>
      <c r="F396" t="s">
        <v>25</v>
      </c>
      <c r="G396">
        <v>1</v>
      </c>
      <c r="H396" s="3">
        <v>101</v>
      </c>
      <c r="I396" s="4">
        <v>0.05</v>
      </c>
      <c r="J396" s="3">
        <f>G396*H396*(1-I396)</f>
        <v>0</v>
      </c>
      <c r="K396" s="3">
        <f>G396*H396*0.65</f>
        <v>0</v>
      </c>
      <c r="L396" s="3">
        <f>J396-K396</f>
        <v>0</v>
      </c>
    </row>
    <row r="397" spans="1:12">
      <c r="A397" t="s">
        <v>460</v>
      </c>
      <c r="B397" s="2">
        <v>45290</v>
      </c>
      <c r="C397" t="s">
        <v>18</v>
      </c>
      <c r="D397" t="s">
        <v>14</v>
      </c>
      <c r="E397" t="s">
        <v>15</v>
      </c>
      <c r="F397" t="s">
        <v>33</v>
      </c>
      <c r="G397">
        <v>9</v>
      </c>
      <c r="H397" s="3">
        <v>145</v>
      </c>
      <c r="I397" s="4">
        <v>0.05</v>
      </c>
      <c r="J397" s="3">
        <f>G397*H397*(1-I397)</f>
        <v>0</v>
      </c>
      <c r="K397" s="3">
        <f>G397*H397*0.65</f>
        <v>0</v>
      </c>
      <c r="L397" s="3">
        <f>J397-K397</f>
        <v>0</v>
      </c>
    </row>
    <row r="398" spans="1:12">
      <c r="A398" t="s">
        <v>461</v>
      </c>
      <c r="B398" s="2">
        <v>45582</v>
      </c>
      <c r="C398" t="s">
        <v>18</v>
      </c>
      <c r="D398" t="s">
        <v>23</v>
      </c>
      <c r="E398" t="s">
        <v>24</v>
      </c>
      <c r="F398" t="s">
        <v>147</v>
      </c>
      <c r="G398">
        <v>8</v>
      </c>
      <c r="H398" s="3">
        <v>74</v>
      </c>
      <c r="I398" s="4">
        <v>0.1</v>
      </c>
      <c r="J398" s="3">
        <f>G398*H398*(1-I398)</f>
        <v>0</v>
      </c>
      <c r="K398" s="3">
        <f>G398*H398*0.65</f>
        <v>0</v>
      </c>
      <c r="L398" s="3">
        <f>J398-K398</f>
        <v>0</v>
      </c>
    </row>
    <row r="399" spans="1:12">
      <c r="A399" t="s">
        <v>462</v>
      </c>
      <c r="B399" s="2">
        <v>45322</v>
      </c>
      <c r="C399" t="s">
        <v>18</v>
      </c>
      <c r="D399" t="s">
        <v>19</v>
      </c>
      <c r="E399" t="s">
        <v>30</v>
      </c>
      <c r="F399" t="s">
        <v>130</v>
      </c>
      <c r="G399">
        <v>8</v>
      </c>
      <c r="H399" s="3">
        <v>1136</v>
      </c>
      <c r="I399" s="4">
        <v>0.05</v>
      </c>
      <c r="J399" s="3">
        <f>G399*H399*(1-I399)</f>
        <v>0</v>
      </c>
      <c r="K399" s="3">
        <f>G399*H399*0.65</f>
        <v>0</v>
      </c>
      <c r="L399" s="3">
        <f>J399-K399</f>
        <v>0</v>
      </c>
    </row>
    <row r="400" spans="1:12">
      <c r="A400" t="s">
        <v>463</v>
      </c>
      <c r="B400" s="2">
        <v>45237</v>
      </c>
      <c r="C400" t="s">
        <v>13</v>
      </c>
      <c r="D400" t="s">
        <v>14</v>
      </c>
      <c r="E400" t="s">
        <v>15</v>
      </c>
      <c r="F400" t="s">
        <v>115</v>
      </c>
      <c r="G400">
        <v>14</v>
      </c>
      <c r="H400" s="3">
        <v>110</v>
      </c>
      <c r="I400" s="4">
        <v>0.05</v>
      </c>
      <c r="J400" s="3">
        <f>G400*H400*(1-I400)</f>
        <v>0</v>
      </c>
      <c r="K400" s="3">
        <f>G400*H400*0.65</f>
        <v>0</v>
      </c>
      <c r="L400" s="3">
        <f>J400-K400</f>
        <v>0</v>
      </c>
    </row>
    <row r="401" spans="1:12">
      <c r="A401" t="s">
        <v>464</v>
      </c>
      <c r="B401" s="2">
        <v>45018</v>
      </c>
      <c r="C401" t="s">
        <v>43</v>
      </c>
      <c r="D401" t="s">
        <v>19</v>
      </c>
      <c r="E401" t="s">
        <v>20</v>
      </c>
      <c r="F401" t="s">
        <v>21</v>
      </c>
      <c r="G401">
        <v>10</v>
      </c>
      <c r="H401" s="3">
        <v>142</v>
      </c>
      <c r="I401" s="4">
        <v>0.05</v>
      </c>
      <c r="J401" s="3">
        <f>G401*H401*(1-I401)</f>
        <v>0</v>
      </c>
      <c r="K401" s="3">
        <f>G401*H401*0.65</f>
        <v>0</v>
      </c>
      <c r="L401" s="3">
        <f>J401-K401</f>
        <v>0</v>
      </c>
    </row>
    <row r="402" spans="1:12">
      <c r="A402" t="s">
        <v>465</v>
      </c>
      <c r="B402" s="2">
        <v>45481</v>
      </c>
      <c r="C402" t="s">
        <v>13</v>
      </c>
      <c r="D402" t="s">
        <v>19</v>
      </c>
      <c r="E402" t="s">
        <v>20</v>
      </c>
      <c r="F402" t="s">
        <v>51</v>
      </c>
      <c r="G402">
        <v>6</v>
      </c>
      <c r="H402" s="3">
        <v>126</v>
      </c>
      <c r="I402" s="4">
        <v>0</v>
      </c>
      <c r="J402" s="3">
        <f>G402*H402*(1-I402)</f>
        <v>0</v>
      </c>
      <c r="K402" s="3">
        <f>G402*H402*0.65</f>
        <v>0</v>
      </c>
      <c r="L402" s="3">
        <f>J402-K402</f>
        <v>0</v>
      </c>
    </row>
    <row r="403" spans="1:12">
      <c r="A403" t="s">
        <v>466</v>
      </c>
      <c r="B403" s="2">
        <v>44753</v>
      </c>
      <c r="C403" t="s">
        <v>13</v>
      </c>
      <c r="D403" t="s">
        <v>23</v>
      </c>
      <c r="E403" t="s">
        <v>24</v>
      </c>
      <c r="F403" t="s">
        <v>147</v>
      </c>
      <c r="G403">
        <v>7</v>
      </c>
      <c r="H403" s="3">
        <v>125</v>
      </c>
      <c r="I403" s="4">
        <v>0.05</v>
      </c>
      <c r="J403" s="3">
        <f>G403*H403*(1-I403)</f>
        <v>0</v>
      </c>
      <c r="K403" s="3">
        <f>G403*H403*0.65</f>
        <v>0</v>
      </c>
      <c r="L403" s="3">
        <f>J403-K403</f>
        <v>0</v>
      </c>
    </row>
    <row r="404" spans="1:12">
      <c r="A404" t="s">
        <v>467</v>
      </c>
      <c r="B404" s="2">
        <v>45300</v>
      </c>
      <c r="C404" t="s">
        <v>18</v>
      </c>
      <c r="D404" t="s">
        <v>14</v>
      </c>
      <c r="E404" t="s">
        <v>27</v>
      </c>
      <c r="F404" t="s">
        <v>140</v>
      </c>
      <c r="G404">
        <v>6</v>
      </c>
      <c r="H404" s="3">
        <v>101</v>
      </c>
      <c r="I404" s="4">
        <v>0</v>
      </c>
      <c r="J404" s="3">
        <f>G404*H404*(1-I404)</f>
        <v>0</v>
      </c>
      <c r="K404" s="3">
        <f>G404*H404*0.65</f>
        <v>0</v>
      </c>
      <c r="L404" s="3">
        <f>J404-K404</f>
        <v>0</v>
      </c>
    </row>
    <row r="405" spans="1:12">
      <c r="A405" t="s">
        <v>468</v>
      </c>
      <c r="B405" s="2">
        <v>45539</v>
      </c>
      <c r="C405" t="s">
        <v>35</v>
      </c>
      <c r="D405" t="s">
        <v>14</v>
      </c>
      <c r="E405" t="s">
        <v>27</v>
      </c>
      <c r="F405" t="s">
        <v>140</v>
      </c>
      <c r="G405">
        <v>9</v>
      </c>
      <c r="H405" s="3">
        <v>48</v>
      </c>
      <c r="I405" s="4">
        <v>0.15</v>
      </c>
      <c r="J405" s="3">
        <f>G405*H405*(1-I405)</f>
        <v>0</v>
      </c>
      <c r="K405" s="3">
        <f>G405*H405*0.65</f>
        <v>0</v>
      </c>
      <c r="L405" s="3">
        <f>J405-K405</f>
        <v>0</v>
      </c>
    </row>
    <row r="406" spans="1:12">
      <c r="A406" t="s">
        <v>469</v>
      </c>
      <c r="B406" s="2">
        <v>45570</v>
      </c>
      <c r="C406" t="s">
        <v>43</v>
      </c>
      <c r="D406" t="s">
        <v>23</v>
      </c>
      <c r="E406" t="s">
        <v>24</v>
      </c>
      <c r="F406" t="s">
        <v>117</v>
      </c>
      <c r="G406">
        <v>3</v>
      </c>
      <c r="H406" s="3">
        <v>92</v>
      </c>
      <c r="I406" s="4">
        <v>0.1</v>
      </c>
      <c r="J406" s="3">
        <f>G406*H406*(1-I406)</f>
        <v>0</v>
      </c>
      <c r="K406" s="3">
        <f>G406*H406*0.65</f>
        <v>0</v>
      </c>
      <c r="L406" s="3">
        <f>J406-K406</f>
        <v>0</v>
      </c>
    </row>
    <row r="407" spans="1:12">
      <c r="A407" t="s">
        <v>470</v>
      </c>
      <c r="B407" s="2">
        <v>44657</v>
      </c>
      <c r="C407" t="s">
        <v>18</v>
      </c>
      <c r="D407" t="s">
        <v>19</v>
      </c>
      <c r="E407" t="s">
        <v>20</v>
      </c>
      <c r="F407" t="s">
        <v>49</v>
      </c>
      <c r="G407">
        <v>14</v>
      </c>
      <c r="H407" s="3">
        <v>1093</v>
      </c>
      <c r="I407" s="4">
        <v>0.15</v>
      </c>
      <c r="J407" s="3">
        <f>G407*H407*(1-I407)</f>
        <v>0</v>
      </c>
      <c r="K407" s="3">
        <f>G407*H407*0.65</f>
        <v>0</v>
      </c>
      <c r="L407" s="3">
        <f>J407-K407</f>
        <v>0</v>
      </c>
    </row>
    <row r="408" spans="1:12">
      <c r="A408" t="s">
        <v>471</v>
      </c>
      <c r="B408" s="2">
        <v>45224</v>
      </c>
      <c r="C408" t="s">
        <v>35</v>
      </c>
      <c r="D408" t="s">
        <v>19</v>
      </c>
      <c r="E408" t="s">
        <v>30</v>
      </c>
      <c r="F408" t="s">
        <v>31</v>
      </c>
      <c r="G408">
        <v>3</v>
      </c>
      <c r="H408" s="3">
        <v>766</v>
      </c>
      <c r="I408" s="4">
        <v>0</v>
      </c>
      <c r="J408" s="3">
        <f>G408*H408*(1-I408)</f>
        <v>0</v>
      </c>
      <c r="K408" s="3">
        <f>G408*H408*0.65</f>
        <v>0</v>
      </c>
      <c r="L408" s="3">
        <f>J408-K408</f>
        <v>0</v>
      </c>
    </row>
    <row r="409" spans="1:12">
      <c r="A409" t="s">
        <v>472</v>
      </c>
      <c r="B409" s="2">
        <v>44598</v>
      </c>
      <c r="C409" t="s">
        <v>35</v>
      </c>
      <c r="D409" t="s">
        <v>19</v>
      </c>
      <c r="E409" t="s">
        <v>20</v>
      </c>
      <c r="F409" t="s">
        <v>51</v>
      </c>
      <c r="G409">
        <v>3</v>
      </c>
      <c r="H409" s="3">
        <v>88</v>
      </c>
      <c r="I409" s="4">
        <v>0.1</v>
      </c>
      <c r="J409" s="3">
        <f>G409*H409*(1-I409)</f>
        <v>0</v>
      </c>
      <c r="K409" s="3">
        <f>G409*H409*0.65</f>
        <v>0</v>
      </c>
      <c r="L409" s="3">
        <f>J409-K409</f>
        <v>0</v>
      </c>
    </row>
    <row r="410" spans="1:12">
      <c r="A410" t="s">
        <v>473</v>
      </c>
      <c r="B410" s="2">
        <v>44840</v>
      </c>
      <c r="C410" t="s">
        <v>55</v>
      </c>
      <c r="D410" t="s">
        <v>19</v>
      </c>
      <c r="E410" t="s">
        <v>20</v>
      </c>
      <c r="F410" t="s">
        <v>172</v>
      </c>
      <c r="G410">
        <v>10</v>
      </c>
      <c r="H410" s="3">
        <v>768</v>
      </c>
      <c r="I410" s="4">
        <v>0.1</v>
      </c>
      <c r="J410" s="3">
        <f>G410*H410*(1-I410)</f>
        <v>0</v>
      </c>
      <c r="K410" s="3">
        <f>G410*H410*0.65</f>
        <v>0</v>
      </c>
      <c r="L410" s="3">
        <f>J410-K410</f>
        <v>0</v>
      </c>
    </row>
    <row r="411" spans="1:12">
      <c r="A411" t="s">
        <v>474</v>
      </c>
      <c r="B411" s="2">
        <v>44778</v>
      </c>
      <c r="C411" t="s">
        <v>43</v>
      </c>
      <c r="D411" t="s">
        <v>14</v>
      </c>
      <c r="E411" t="s">
        <v>27</v>
      </c>
      <c r="F411" t="s">
        <v>28</v>
      </c>
      <c r="G411">
        <v>3</v>
      </c>
      <c r="H411" s="3">
        <v>42</v>
      </c>
      <c r="I411" s="4">
        <v>0.05</v>
      </c>
      <c r="J411" s="3">
        <f>G411*H411*(1-I411)</f>
        <v>0</v>
      </c>
      <c r="K411" s="3">
        <f>G411*H411*0.65</f>
        <v>0</v>
      </c>
      <c r="L411" s="3">
        <f>J411-K411</f>
        <v>0</v>
      </c>
    </row>
    <row r="412" spans="1:12">
      <c r="A412" t="s">
        <v>475</v>
      </c>
      <c r="B412" s="2">
        <v>45428</v>
      </c>
      <c r="C412" t="s">
        <v>35</v>
      </c>
      <c r="D412" t="s">
        <v>14</v>
      </c>
      <c r="E412" t="s">
        <v>15</v>
      </c>
      <c r="F412" t="s">
        <v>33</v>
      </c>
      <c r="G412">
        <v>9</v>
      </c>
      <c r="H412" s="3">
        <v>76</v>
      </c>
      <c r="I412" s="4">
        <v>0.05</v>
      </c>
      <c r="J412" s="3">
        <f>G412*H412*(1-I412)</f>
        <v>0</v>
      </c>
      <c r="K412" s="3">
        <f>G412*H412*0.65</f>
        <v>0</v>
      </c>
      <c r="L412" s="3">
        <f>J412-K412</f>
        <v>0</v>
      </c>
    </row>
    <row r="413" spans="1:12">
      <c r="A413" t="s">
        <v>476</v>
      </c>
      <c r="B413" s="2">
        <v>45434</v>
      </c>
      <c r="C413" t="s">
        <v>18</v>
      </c>
      <c r="D413" t="s">
        <v>23</v>
      </c>
      <c r="E413" t="s">
        <v>68</v>
      </c>
      <c r="F413" t="s">
        <v>93</v>
      </c>
      <c r="G413">
        <v>12</v>
      </c>
      <c r="H413" s="3">
        <v>387</v>
      </c>
      <c r="I413" s="4">
        <v>0</v>
      </c>
      <c r="J413" s="3">
        <f>G413*H413*(1-I413)</f>
        <v>0</v>
      </c>
      <c r="K413" s="3">
        <f>G413*H413*0.65</f>
        <v>0</v>
      </c>
      <c r="L413" s="3">
        <f>J413-K413</f>
        <v>0</v>
      </c>
    </row>
    <row r="414" spans="1:12">
      <c r="A414" t="s">
        <v>477</v>
      </c>
      <c r="B414" s="2">
        <v>44623</v>
      </c>
      <c r="C414" t="s">
        <v>55</v>
      </c>
      <c r="D414" t="s">
        <v>23</v>
      </c>
      <c r="E414" t="s">
        <v>36</v>
      </c>
      <c r="F414" t="s">
        <v>76</v>
      </c>
      <c r="G414">
        <v>4</v>
      </c>
      <c r="H414" s="3">
        <v>90</v>
      </c>
      <c r="I414" s="4">
        <v>0.1</v>
      </c>
      <c r="J414" s="3">
        <f>G414*H414*(1-I414)</f>
        <v>0</v>
      </c>
      <c r="K414" s="3">
        <f>G414*H414*0.65</f>
        <v>0</v>
      </c>
      <c r="L414" s="3">
        <f>J414-K414</f>
        <v>0</v>
      </c>
    </row>
    <row r="415" spans="1:12">
      <c r="A415" t="s">
        <v>478</v>
      </c>
      <c r="B415" s="2">
        <v>45157</v>
      </c>
      <c r="C415" t="s">
        <v>43</v>
      </c>
      <c r="D415" t="s">
        <v>14</v>
      </c>
      <c r="E415" t="s">
        <v>57</v>
      </c>
      <c r="F415" t="s">
        <v>58</v>
      </c>
      <c r="G415">
        <v>13</v>
      </c>
      <c r="H415" s="3">
        <v>60</v>
      </c>
      <c r="I415" s="4">
        <v>0.05</v>
      </c>
      <c r="J415" s="3">
        <f>G415*H415*(1-I415)</f>
        <v>0</v>
      </c>
      <c r="K415" s="3">
        <f>G415*H415*0.65</f>
        <v>0</v>
      </c>
      <c r="L415" s="3">
        <f>J415-K415</f>
        <v>0</v>
      </c>
    </row>
    <row r="416" spans="1:12">
      <c r="A416" t="s">
        <v>479</v>
      </c>
      <c r="B416" s="2">
        <v>45290</v>
      </c>
      <c r="C416" t="s">
        <v>13</v>
      </c>
      <c r="D416" t="s">
        <v>14</v>
      </c>
      <c r="E416" t="s">
        <v>15</v>
      </c>
      <c r="F416" t="s">
        <v>115</v>
      </c>
      <c r="G416">
        <v>7</v>
      </c>
      <c r="H416" s="3">
        <v>148</v>
      </c>
      <c r="I416" s="4">
        <v>0</v>
      </c>
      <c r="J416" s="3">
        <f>G416*H416*(1-I416)</f>
        <v>0</v>
      </c>
      <c r="K416" s="3">
        <f>G416*H416*0.65</f>
        <v>0</v>
      </c>
      <c r="L416" s="3">
        <f>J416-K416</f>
        <v>0</v>
      </c>
    </row>
    <row r="417" spans="1:12">
      <c r="A417" t="s">
        <v>480</v>
      </c>
      <c r="B417" s="2">
        <v>44958</v>
      </c>
      <c r="C417" t="s">
        <v>18</v>
      </c>
      <c r="D417" t="s">
        <v>19</v>
      </c>
      <c r="E417" t="s">
        <v>20</v>
      </c>
      <c r="F417" t="s">
        <v>51</v>
      </c>
      <c r="G417">
        <v>14</v>
      </c>
      <c r="H417" s="3">
        <v>109</v>
      </c>
      <c r="I417" s="4">
        <v>0</v>
      </c>
      <c r="J417" s="3">
        <f>G417*H417*(1-I417)</f>
        <v>0</v>
      </c>
      <c r="K417" s="3">
        <f>G417*H417*0.65</f>
        <v>0</v>
      </c>
      <c r="L417" s="3">
        <f>J417-K417</f>
        <v>0</v>
      </c>
    </row>
    <row r="418" spans="1:12">
      <c r="A418" t="s">
        <v>481</v>
      </c>
      <c r="B418" s="2">
        <v>45260</v>
      </c>
      <c r="C418" t="s">
        <v>35</v>
      </c>
      <c r="D418" t="s">
        <v>19</v>
      </c>
      <c r="E418" t="s">
        <v>20</v>
      </c>
      <c r="F418" t="s">
        <v>49</v>
      </c>
      <c r="G418">
        <v>9</v>
      </c>
      <c r="H418" s="3">
        <v>913</v>
      </c>
      <c r="I418" s="4">
        <v>0.15</v>
      </c>
      <c r="J418" s="3">
        <f>G418*H418*(1-I418)</f>
        <v>0</v>
      </c>
      <c r="K418" s="3">
        <f>G418*H418*0.65</f>
        <v>0</v>
      </c>
      <c r="L418" s="3">
        <f>J418-K418</f>
        <v>0</v>
      </c>
    </row>
    <row r="419" spans="1:12">
      <c r="A419" t="s">
        <v>482</v>
      </c>
      <c r="B419" s="2">
        <v>45604</v>
      </c>
      <c r="C419" t="s">
        <v>35</v>
      </c>
      <c r="D419" t="s">
        <v>23</v>
      </c>
      <c r="E419" t="s">
        <v>68</v>
      </c>
      <c r="F419" t="s">
        <v>93</v>
      </c>
      <c r="G419">
        <v>11</v>
      </c>
      <c r="H419" s="3">
        <v>373</v>
      </c>
      <c r="I419" s="4">
        <v>0.1</v>
      </c>
      <c r="J419" s="3">
        <f>G419*H419*(1-I419)</f>
        <v>0</v>
      </c>
      <c r="K419" s="3">
        <f>G419*H419*0.65</f>
        <v>0</v>
      </c>
      <c r="L419" s="3">
        <f>J419-K419</f>
        <v>0</v>
      </c>
    </row>
    <row r="420" spans="1:12">
      <c r="A420" t="s">
        <v>483</v>
      </c>
      <c r="B420" s="2">
        <v>44738</v>
      </c>
      <c r="C420" t="s">
        <v>18</v>
      </c>
      <c r="D420" t="s">
        <v>14</v>
      </c>
      <c r="E420" t="s">
        <v>57</v>
      </c>
      <c r="F420" t="s">
        <v>58</v>
      </c>
      <c r="G420">
        <v>12</v>
      </c>
      <c r="H420" s="3">
        <v>51</v>
      </c>
      <c r="I420" s="4">
        <v>0.15</v>
      </c>
      <c r="J420" s="3">
        <f>G420*H420*(1-I420)</f>
        <v>0</v>
      </c>
      <c r="K420" s="3">
        <f>G420*H420*0.65</f>
        <v>0</v>
      </c>
      <c r="L420" s="3">
        <f>J420-K420</f>
        <v>0</v>
      </c>
    </row>
    <row r="421" spans="1:12">
      <c r="A421" t="s">
        <v>484</v>
      </c>
      <c r="B421" s="2">
        <v>44957</v>
      </c>
      <c r="C421" t="s">
        <v>35</v>
      </c>
      <c r="D421" t="s">
        <v>23</v>
      </c>
      <c r="E421" t="s">
        <v>36</v>
      </c>
      <c r="F421" t="s">
        <v>76</v>
      </c>
      <c r="G421">
        <v>7</v>
      </c>
      <c r="H421" s="3">
        <v>122</v>
      </c>
      <c r="I421" s="4">
        <v>0.05</v>
      </c>
      <c r="J421" s="3">
        <f>G421*H421*(1-I421)</f>
        <v>0</v>
      </c>
      <c r="K421" s="3">
        <f>G421*H421*0.65</f>
        <v>0</v>
      </c>
      <c r="L421" s="3">
        <f>J421-K421</f>
        <v>0</v>
      </c>
    </row>
    <row r="422" spans="1:12">
      <c r="A422" t="s">
        <v>485</v>
      </c>
      <c r="B422" s="2">
        <v>45006</v>
      </c>
      <c r="C422" t="s">
        <v>55</v>
      </c>
      <c r="D422" t="s">
        <v>14</v>
      </c>
      <c r="E422" t="s">
        <v>57</v>
      </c>
      <c r="F422" t="s">
        <v>121</v>
      </c>
      <c r="G422">
        <v>9</v>
      </c>
      <c r="H422" s="3">
        <v>115</v>
      </c>
      <c r="I422" s="4">
        <v>0</v>
      </c>
      <c r="J422" s="3">
        <f>G422*H422*(1-I422)</f>
        <v>0</v>
      </c>
      <c r="K422" s="3">
        <f>G422*H422*0.65</f>
        <v>0</v>
      </c>
      <c r="L422" s="3">
        <f>J422-K422</f>
        <v>0</v>
      </c>
    </row>
    <row r="423" spans="1:12">
      <c r="A423" t="s">
        <v>486</v>
      </c>
      <c r="B423" s="2">
        <v>44637</v>
      </c>
      <c r="C423" t="s">
        <v>43</v>
      </c>
      <c r="D423" t="s">
        <v>19</v>
      </c>
      <c r="E423" t="s">
        <v>30</v>
      </c>
      <c r="F423" t="s">
        <v>39</v>
      </c>
      <c r="G423">
        <v>12</v>
      </c>
      <c r="H423" s="3">
        <v>72</v>
      </c>
      <c r="I423" s="4">
        <v>0</v>
      </c>
      <c r="J423" s="3">
        <f>G423*H423*(1-I423)</f>
        <v>0</v>
      </c>
      <c r="K423" s="3">
        <f>G423*H423*0.65</f>
        <v>0</v>
      </c>
      <c r="L423" s="3">
        <f>J423-K423</f>
        <v>0</v>
      </c>
    </row>
    <row r="424" spans="1:12">
      <c r="A424" t="s">
        <v>487</v>
      </c>
      <c r="B424" s="2">
        <v>44826</v>
      </c>
      <c r="C424" t="s">
        <v>55</v>
      </c>
      <c r="D424" t="s">
        <v>23</v>
      </c>
      <c r="E424" t="s">
        <v>24</v>
      </c>
      <c r="F424" t="s">
        <v>147</v>
      </c>
      <c r="G424">
        <v>3</v>
      </c>
      <c r="H424" s="3">
        <v>96</v>
      </c>
      <c r="I424" s="4">
        <v>0</v>
      </c>
      <c r="J424" s="3">
        <f>G424*H424*(1-I424)</f>
        <v>0</v>
      </c>
      <c r="K424" s="3">
        <f>G424*H424*0.65</f>
        <v>0</v>
      </c>
      <c r="L424" s="3">
        <f>J424-K424</f>
        <v>0</v>
      </c>
    </row>
    <row r="425" spans="1:12">
      <c r="A425" t="s">
        <v>488</v>
      </c>
      <c r="B425" s="2">
        <v>45016</v>
      </c>
      <c r="C425" t="s">
        <v>35</v>
      </c>
      <c r="D425" t="s">
        <v>23</v>
      </c>
      <c r="E425" t="s">
        <v>36</v>
      </c>
      <c r="F425" t="s">
        <v>74</v>
      </c>
      <c r="G425">
        <v>4</v>
      </c>
      <c r="H425" s="3">
        <v>203</v>
      </c>
      <c r="I425" s="4">
        <v>0</v>
      </c>
      <c r="J425" s="3">
        <f>G425*H425*(1-I425)</f>
        <v>0</v>
      </c>
      <c r="K425" s="3">
        <f>G425*H425*0.65</f>
        <v>0</v>
      </c>
      <c r="L425" s="3">
        <f>J425-K425</f>
        <v>0</v>
      </c>
    </row>
    <row r="426" spans="1:12">
      <c r="A426" t="s">
        <v>489</v>
      </c>
      <c r="B426" s="2">
        <v>45279</v>
      </c>
      <c r="C426" t="s">
        <v>13</v>
      </c>
      <c r="D426" t="s">
        <v>14</v>
      </c>
      <c r="E426" t="s">
        <v>15</v>
      </c>
      <c r="F426" t="s">
        <v>16</v>
      </c>
      <c r="G426">
        <v>14</v>
      </c>
      <c r="H426" s="3">
        <v>14</v>
      </c>
      <c r="I426" s="4">
        <v>0</v>
      </c>
      <c r="J426" s="3">
        <f>G426*H426*(1-I426)</f>
        <v>0</v>
      </c>
      <c r="K426" s="3">
        <f>G426*H426*0.65</f>
        <v>0</v>
      </c>
      <c r="L426" s="3">
        <f>J426-K426</f>
        <v>0</v>
      </c>
    </row>
    <row r="427" spans="1:12">
      <c r="A427" t="s">
        <v>490</v>
      </c>
      <c r="B427" s="2">
        <v>45296</v>
      </c>
      <c r="C427" t="s">
        <v>43</v>
      </c>
      <c r="D427" t="s">
        <v>19</v>
      </c>
      <c r="E427" t="s">
        <v>45</v>
      </c>
      <c r="F427" t="s">
        <v>46</v>
      </c>
      <c r="G427">
        <v>8</v>
      </c>
      <c r="H427" s="3">
        <v>71</v>
      </c>
      <c r="I427" s="4">
        <v>0</v>
      </c>
      <c r="J427" s="3">
        <f>G427*H427*(1-I427)</f>
        <v>0</v>
      </c>
      <c r="K427" s="3">
        <f>G427*H427*0.65</f>
        <v>0</v>
      </c>
      <c r="L427" s="3">
        <f>J427-K427</f>
        <v>0</v>
      </c>
    </row>
    <row r="428" spans="1:12">
      <c r="A428" t="s">
        <v>491</v>
      </c>
      <c r="B428" s="2">
        <v>45412</v>
      </c>
      <c r="C428" t="s">
        <v>43</v>
      </c>
      <c r="D428" t="s">
        <v>23</v>
      </c>
      <c r="E428" t="s">
        <v>36</v>
      </c>
      <c r="F428" t="s">
        <v>76</v>
      </c>
      <c r="G428">
        <v>6</v>
      </c>
      <c r="H428" s="3">
        <v>93</v>
      </c>
      <c r="I428" s="4">
        <v>0.05</v>
      </c>
      <c r="J428" s="3">
        <f>G428*H428*(1-I428)</f>
        <v>0</v>
      </c>
      <c r="K428" s="3">
        <f>G428*H428*0.65</f>
        <v>0</v>
      </c>
      <c r="L428" s="3">
        <f>J428-K428</f>
        <v>0</v>
      </c>
    </row>
    <row r="429" spans="1:12">
      <c r="A429" t="s">
        <v>492</v>
      </c>
      <c r="B429" s="2">
        <v>44705</v>
      </c>
      <c r="C429" t="s">
        <v>18</v>
      </c>
      <c r="D429" t="s">
        <v>19</v>
      </c>
      <c r="E429" t="s">
        <v>20</v>
      </c>
      <c r="F429" t="s">
        <v>21</v>
      </c>
      <c r="G429">
        <v>5</v>
      </c>
      <c r="H429" s="3">
        <v>50</v>
      </c>
      <c r="I429" s="4">
        <v>0.15</v>
      </c>
      <c r="J429" s="3">
        <f>G429*H429*(1-I429)</f>
        <v>0</v>
      </c>
      <c r="K429" s="3">
        <f>G429*H429*0.65</f>
        <v>0</v>
      </c>
      <c r="L429" s="3">
        <f>J429-K429</f>
        <v>0</v>
      </c>
    </row>
    <row r="430" spans="1:12">
      <c r="A430" t="s">
        <v>493</v>
      </c>
      <c r="B430" s="2">
        <v>45446</v>
      </c>
      <c r="C430" t="s">
        <v>18</v>
      </c>
      <c r="D430" t="s">
        <v>23</v>
      </c>
      <c r="E430" t="s">
        <v>68</v>
      </c>
      <c r="F430" t="s">
        <v>152</v>
      </c>
      <c r="G430">
        <v>13</v>
      </c>
      <c r="H430" s="3">
        <v>357</v>
      </c>
      <c r="I430" s="4">
        <v>0.05</v>
      </c>
      <c r="J430" s="3">
        <f>G430*H430*(1-I430)</f>
        <v>0</v>
      </c>
      <c r="K430" s="3">
        <f>G430*H430*0.65</f>
        <v>0</v>
      </c>
      <c r="L430" s="3">
        <f>J430-K430</f>
        <v>0</v>
      </c>
    </row>
    <row r="431" spans="1:12">
      <c r="A431" t="s">
        <v>494</v>
      </c>
      <c r="B431" s="2">
        <v>45654</v>
      </c>
      <c r="C431" t="s">
        <v>13</v>
      </c>
      <c r="D431" t="s">
        <v>19</v>
      </c>
      <c r="E431" t="s">
        <v>20</v>
      </c>
      <c r="F431" t="s">
        <v>21</v>
      </c>
      <c r="G431">
        <v>4</v>
      </c>
      <c r="H431" s="3">
        <v>105</v>
      </c>
      <c r="I431" s="4">
        <v>0.1</v>
      </c>
      <c r="J431" s="3">
        <f>G431*H431*(1-I431)</f>
        <v>0</v>
      </c>
      <c r="K431" s="3">
        <f>G431*H431*0.65</f>
        <v>0</v>
      </c>
      <c r="L431" s="3">
        <f>J431-K431</f>
        <v>0</v>
      </c>
    </row>
    <row r="432" spans="1:12">
      <c r="A432" t="s">
        <v>495</v>
      </c>
      <c r="B432" s="2">
        <v>44957</v>
      </c>
      <c r="C432" t="s">
        <v>43</v>
      </c>
      <c r="D432" t="s">
        <v>14</v>
      </c>
      <c r="E432" t="s">
        <v>15</v>
      </c>
      <c r="F432" t="s">
        <v>16</v>
      </c>
      <c r="G432">
        <v>8</v>
      </c>
      <c r="H432" s="3">
        <v>6</v>
      </c>
      <c r="I432" s="4">
        <v>0.05</v>
      </c>
      <c r="J432" s="3">
        <f>G432*H432*(1-I432)</f>
        <v>0</v>
      </c>
      <c r="K432" s="3">
        <f>G432*H432*0.65</f>
        <v>0</v>
      </c>
      <c r="L432" s="3">
        <f>J432-K432</f>
        <v>0</v>
      </c>
    </row>
    <row r="433" spans="1:12">
      <c r="A433" t="s">
        <v>496</v>
      </c>
      <c r="B433" s="2">
        <v>45610</v>
      </c>
      <c r="C433" t="s">
        <v>13</v>
      </c>
      <c r="D433" t="s">
        <v>23</v>
      </c>
      <c r="E433" t="s">
        <v>24</v>
      </c>
      <c r="F433" t="s">
        <v>60</v>
      </c>
      <c r="G433">
        <v>1</v>
      </c>
      <c r="H433" s="3">
        <v>70</v>
      </c>
      <c r="I433" s="4">
        <v>0</v>
      </c>
      <c r="J433" s="3">
        <f>G433*H433*(1-I433)</f>
        <v>0</v>
      </c>
      <c r="K433" s="3">
        <f>G433*H433*0.65</f>
        <v>0</v>
      </c>
      <c r="L433" s="3">
        <f>J433-K433</f>
        <v>0</v>
      </c>
    </row>
    <row r="434" spans="1:12">
      <c r="A434" t="s">
        <v>497</v>
      </c>
      <c r="B434" s="2">
        <v>45509</v>
      </c>
      <c r="C434" t="s">
        <v>18</v>
      </c>
      <c r="D434" t="s">
        <v>23</v>
      </c>
      <c r="E434" t="s">
        <v>36</v>
      </c>
      <c r="F434" t="s">
        <v>37</v>
      </c>
      <c r="G434">
        <v>14</v>
      </c>
      <c r="H434" s="3">
        <v>53</v>
      </c>
      <c r="I434" s="4">
        <v>0</v>
      </c>
      <c r="J434" s="3">
        <f>G434*H434*(1-I434)</f>
        <v>0</v>
      </c>
      <c r="K434" s="3">
        <f>G434*H434*0.65</f>
        <v>0</v>
      </c>
      <c r="L434" s="3">
        <f>J434-K434</f>
        <v>0</v>
      </c>
    </row>
    <row r="435" spans="1:12">
      <c r="A435" t="s">
        <v>498</v>
      </c>
      <c r="B435" s="2">
        <v>45452</v>
      </c>
      <c r="C435" t="s">
        <v>18</v>
      </c>
      <c r="D435" t="s">
        <v>19</v>
      </c>
      <c r="E435" t="s">
        <v>20</v>
      </c>
      <c r="F435" t="s">
        <v>172</v>
      </c>
      <c r="G435">
        <v>9</v>
      </c>
      <c r="H435" s="3">
        <v>734</v>
      </c>
      <c r="I435" s="4">
        <v>0</v>
      </c>
      <c r="J435" s="3">
        <f>G435*H435*(1-I435)</f>
        <v>0</v>
      </c>
      <c r="K435" s="3">
        <f>G435*H435*0.65</f>
        <v>0</v>
      </c>
      <c r="L435" s="3">
        <f>J435-K435</f>
        <v>0</v>
      </c>
    </row>
    <row r="436" spans="1:12">
      <c r="A436" t="s">
        <v>499</v>
      </c>
      <c r="B436" s="2">
        <v>45130</v>
      </c>
      <c r="C436" t="s">
        <v>43</v>
      </c>
      <c r="D436" t="s">
        <v>19</v>
      </c>
      <c r="E436" t="s">
        <v>20</v>
      </c>
      <c r="F436" t="s">
        <v>51</v>
      </c>
      <c r="G436">
        <v>1</v>
      </c>
      <c r="H436" s="3">
        <v>85</v>
      </c>
      <c r="I436" s="4">
        <v>0</v>
      </c>
      <c r="J436" s="3">
        <f>G436*H436*(1-I436)</f>
        <v>0</v>
      </c>
      <c r="K436" s="3">
        <f>G436*H436*0.65</f>
        <v>0</v>
      </c>
      <c r="L436" s="3">
        <f>J436-K436</f>
        <v>0</v>
      </c>
    </row>
    <row r="437" spans="1:12">
      <c r="A437" t="s">
        <v>500</v>
      </c>
      <c r="B437" s="2">
        <v>45624</v>
      </c>
      <c r="C437" t="s">
        <v>55</v>
      </c>
      <c r="D437" t="s">
        <v>23</v>
      </c>
      <c r="E437" t="s">
        <v>68</v>
      </c>
      <c r="F437" t="s">
        <v>152</v>
      </c>
      <c r="G437">
        <v>8</v>
      </c>
      <c r="H437" s="3">
        <v>179</v>
      </c>
      <c r="I437" s="4">
        <v>0.05</v>
      </c>
      <c r="J437" s="3">
        <f>G437*H437*(1-I437)</f>
        <v>0</v>
      </c>
      <c r="K437" s="3">
        <f>G437*H437*0.65</f>
        <v>0</v>
      </c>
      <c r="L437" s="3">
        <f>J437-K437</f>
        <v>0</v>
      </c>
    </row>
    <row r="438" spans="1:12">
      <c r="A438" t="s">
        <v>501</v>
      </c>
      <c r="B438" s="2">
        <v>44670</v>
      </c>
      <c r="C438" t="s">
        <v>35</v>
      </c>
      <c r="D438" t="s">
        <v>14</v>
      </c>
      <c r="E438" t="s">
        <v>27</v>
      </c>
      <c r="F438" t="s">
        <v>101</v>
      </c>
      <c r="G438">
        <v>4</v>
      </c>
      <c r="H438" s="3">
        <v>86</v>
      </c>
      <c r="I438" s="4">
        <v>0</v>
      </c>
      <c r="J438" s="3">
        <f>G438*H438*(1-I438)</f>
        <v>0</v>
      </c>
      <c r="K438" s="3">
        <f>G438*H438*0.65</f>
        <v>0</v>
      </c>
      <c r="L438" s="3">
        <f>J438-K438</f>
        <v>0</v>
      </c>
    </row>
    <row r="439" spans="1:12">
      <c r="A439" t="s">
        <v>502</v>
      </c>
      <c r="B439" s="2">
        <v>45627</v>
      </c>
      <c r="C439" t="s">
        <v>18</v>
      </c>
      <c r="D439" t="s">
        <v>19</v>
      </c>
      <c r="E439" t="s">
        <v>30</v>
      </c>
      <c r="F439" t="s">
        <v>39</v>
      </c>
      <c r="G439">
        <v>9</v>
      </c>
      <c r="H439" s="3">
        <v>123</v>
      </c>
      <c r="I439" s="4">
        <v>0</v>
      </c>
      <c r="J439" s="3">
        <f>G439*H439*(1-I439)</f>
        <v>0</v>
      </c>
      <c r="K439" s="3">
        <f>G439*H439*0.65</f>
        <v>0</v>
      </c>
      <c r="L439" s="3">
        <f>J439-K439</f>
        <v>0</v>
      </c>
    </row>
    <row r="440" spans="1:12">
      <c r="A440" t="s">
        <v>503</v>
      </c>
      <c r="B440" s="2">
        <v>45496</v>
      </c>
      <c r="C440" t="s">
        <v>18</v>
      </c>
      <c r="D440" t="s">
        <v>19</v>
      </c>
      <c r="E440" t="s">
        <v>30</v>
      </c>
      <c r="F440" t="s">
        <v>83</v>
      </c>
      <c r="G440">
        <v>14</v>
      </c>
      <c r="H440" s="3">
        <v>76</v>
      </c>
      <c r="I440" s="4">
        <v>0</v>
      </c>
      <c r="J440" s="3">
        <f>G440*H440*(1-I440)</f>
        <v>0</v>
      </c>
      <c r="K440" s="3">
        <f>G440*H440*0.65</f>
        <v>0</v>
      </c>
      <c r="L440" s="3">
        <f>J440-K440</f>
        <v>0</v>
      </c>
    </row>
    <row r="441" spans="1:12">
      <c r="A441" t="s">
        <v>504</v>
      </c>
      <c r="B441" s="2">
        <v>44959</v>
      </c>
      <c r="C441" t="s">
        <v>55</v>
      </c>
      <c r="D441" t="s">
        <v>19</v>
      </c>
      <c r="E441" t="s">
        <v>20</v>
      </c>
      <c r="F441" t="s">
        <v>51</v>
      </c>
      <c r="G441">
        <v>11</v>
      </c>
      <c r="H441" s="3">
        <v>64</v>
      </c>
      <c r="I441" s="4">
        <v>0.15</v>
      </c>
      <c r="J441" s="3">
        <f>G441*H441*(1-I441)</f>
        <v>0</v>
      </c>
      <c r="K441" s="3">
        <f>G441*H441*0.65</f>
        <v>0</v>
      </c>
      <c r="L441" s="3">
        <f>J441-K441</f>
        <v>0</v>
      </c>
    </row>
    <row r="442" spans="1:12">
      <c r="A442" t="s">
        <v>505</v>
      </c>
      <c r="B442" s="2">
        <v>45195</v>
      </c>
      <c r="C442" t="s">
        <v>55</v>
      </c>
      <c r="D442" t="s">
        <v>23</v>
      </c>
      <c r="E442" t="s">
        <v>36</v>
      </c>
      <c r="F442" t="s">
        <v>76</v>
      </c>
      <c r="G442">
        <v>5</v>
      </c>
      <c r="H442" s="3">
        <v>48</v>
      </c>
      <c r="I442" s="4">
        <v>0.1</v>
      </c>
      <c r="J442" s="3">
        <f>G442*H442*(1-I442)</f>
        <v>0</v>
      </c>
      <c r="K442" s="3">
        <f>G442*H442*0.65</f>
        <v>0</v>
      </c>
      <c r="L442" s="3">
        <f>J442-K442</f>
        <v>0</v>
      </c>
    </row>
    <row r="443" spans="1:12">
      <c r="A443" t="s">
        <v>506</v>
      </c>
      <c r="B443" s="2">
        <v>45294</v>
      </c>
      <c r="C443" t="s">
        <v>13</v>
      </c>
      <c r="D443" t="s">
        <v>23</v>
      </c>
      <c r="E443" t="s">
        <v>24</v>
      </c>
      <c r="F443" t="s">
        <v>25</v>
      </c>
      <c r="G443">
        <v>3</v>
      </c>
      <c r="H443" s="3">
        <v>143</v>
      </c>
      <c r="I443" s="4">
        <v>0.1</v>
      </c>
      <c r="J443" s="3">
        <f>G443*H443*(1-I443)</f>
        <v>0</v>
      </c>
      <c r="K443" s="3">
        <f>G443*H443*0.65</f>
        <v>0</v>
      </c>
      <c r="L443" s="3">
        <f>J443-K443</f>
        <v>0</v>
      </c>
    </row>
    <row r="444" spans="1:12">
      <c r="A444" t="s">
        <v>507</v>
      </c>
      <c r="B444" s="2">
        <v>44796</v>
      </c>
      <c r="C444" t="s">
        <v>13</v>
      </c>
      <c r="D444" t="s">
        <v>23</v>
      </c>
      <c r="E444" t="s">
        <v>68</v>
      </c>
      <c r="F444" t="s">
        <v>69</v>
      </c>
      <c r="G444">
        <v>9</v>
      </c>
      <c r="H444" s="3">
        <v>37</v>
      </c>
      <c r="I444" s="4">
        <v>0</v>
      </c>
      <c r="J444" s="3">
        <f>G444*H444*(1-I444)</f>
        <v>0</v>
      </c>
      <c r="K444" s="3">
        <f>G444*H444*0.65</f>
        <v>0</v>
      </c>
      <c r="L444" s="3">
        <f>J444-K444</f>
        <v>0</v>
      </c>
    </row>
    <row r="445" spans="1:12">
      <c r="A445" t="s">
        <v>508</v>
      </c>
      <c r="B445" s="2">
        <v>45219</v>
      </c>
      <c r="C445" t="s">
        <v>35</v>
      </c>
      <c r="D445" t="s">
        <v>23</v>
      </c>
      <c r="E445" t="s">
        <v>36</v>
      </c>
      <c r="F445" t="s">
        <v>37</v>
      </c>
      <c r="G445">
        <v>11</v>
      </c>
      <c r="H445" s="3">
        <v>55</v>
      </c>
      <c r="I445" s="4">
        <v>0.1</v>
      </c>
      <c r="J445" s="3">
        <f>G445*H445*(1-I445)</f>
        <v>0</v>
      </c>
      <c r="K445" s="3">
        <f>G445*H445*0.65</f>
        <v>0</v>
      </c>
      <c r="L445" s="3">
        <f>J445-K445</f>
        <v>0</v>
      </c>
    </row>
    <row r="446" spans="1:12">
      <c r="A446" t="s">
        <v>509</v>
      </c>
      <c r="B446" s="2">
        <v>45312</v>
      </c>
      <c r="C446" t="s">
        <v>35</v>
      </c>
      <c r="D446" t="s">
        <v>14</v>
      </c>
      <c r="E446" t="s">
        <v>15</v>
      </c>
      <c r="F446" t="s">
        <v>80</v>
      </c>
      <c r="G446">
        <v>14</v>
      </c>
      <c r="H446" s="3">
        <v>142</v>
      </c>
      <c r="I446" s="4">
        <v>0.1</v>
      </c>
      <c r="J446" s="3">
        <f>G446*H446*(1-I446)</f>
        <v>0</v>
      </c>
      <c r="K446" s="3">
        <f>G446*H446*0.65</f>
        <v>0</v>
      </c>
      <c r="L446" s="3">
        <f>J446-K446</f>
        <v>0</v>
      </c>
    </row>
    <row r="447" spans="1:12">
      <c r="A447" t="s">
        <v>510</v>
      </c>
      <c r="B447" s="2">
        <v>45149</v>
      </c>
      <c r="C447" t="s">
        <v>43</v>
      </c>
      <c r="D447" t="s">
        <v>14</v>
      </c>
      <c r="E447" t="s">
        <v>15</v>
      </c>
      <c r="F447" t="s">
        <v>80</v>
      </c>
      <c r="G447">
        <v>14</v>
      </c>
      <c r="H447" s="3">
        <v>133</v>
      </c>
      <c r="I447" s="4">
        <v>0.05</v>
      </c>
      <c r="J447" s="3">
        <f>G447*H447*(1-I447)</f>
        <v>0</v>
      </c>
      <c r="K447" s="3">
        <f>G447*H447*0.65</f>
        <v>0</v>
      </c>
      <c r="L447" s="3">
        <f>J447-K447</f>
        <v>0</v>
      </c>
    </row>
    <row r="448" spans="1:12">
      <c r="A448" t="s">
        <v>511</v>
      </c>
      <c r="B448" s="2">
        <v>45594</v>
      </c>
      <c r="C448" t="s">
        <v>13</v>
      </c>
      <c r="D448" t="s">
        <v>23</v>
      </c>
      <c r="E448" t="s">
        <v>36</v>
      </c>
      <c r="F448" t="s">
        <v>41</v>
      </c>
      <c r="G448">
        <v>9</v>
      </c>
      <c r="H448" s="3">
        <v>100</v>
      </c>
      <c r="I448" s="4">
        <v>0.15</v>
      </c>
      <c r="J448" s="3">
        <f>G448*H448*(1-I448)</f>
        <v>0</v>
      </c>
      <c r="K448" s="3">
        <f>G448*H448*0.65</f>
        <v>0</v>
      </c>
      <c r="L448" s="3">
        <f>J448-K448</f>
        <v>0</v>
      </c>
    </row>
    <row r="449" spans="1:12">
      <c r="A449" t="s">
        <v>512</v>
      </c>
      <c r="B449" s="2">
        <v>45515</v>
      </c>
      <c r="C449" t="s">
        <v>18</v>
      </c>
      <c r="D449" t="s">
        <v>14</v>
      </c>
      <c r="E449" t="s">
        <v>57</v>
      </c>
      <c r="F449" t="s">
        <v>58</v>
      </c>
      <c r="G449">
        <v>4</v>
      </c>
      <c r="H449" s="3">
        <v>59</v>
      </c>
      <c r="I449" s="4">
        <v>0</v>
      </c>
      <c r="J449" s="3">
        <f>G449*H449*(1-I449)</f>
        <v>0</v>
      </c>
      <c r="K449" s="3">
        <f>G449*H449*0.65</f>
        <v>0</v>
      </c>
      <c r="L449" s="3">
        <f>J449-K449</f>
        <v>0</v>
      </c>
    </row>
    <row r="450" spans="1:12">
      <c r="A450" t="s">
        <v>513</v>
      </c>
      <c r="B450" s="2">
        <v>45053</v>
      </c>
      <c r="C450" t="s">
        <v>13</v>
      </c>
      <c r="D450" t="s">
        <v>19</v>
      </c>
      <c r="E450" t="s">
        <v>45</v>
      </c>
      <c r="F450" t="s">
        <v>46</v>
      </c>
      <c r="G450">
        <v>11</v>
      </c>
      <c r="H450" s="3">
        <v>36</v>
      </c>
      <c r="I450" s="4">
        <v>0.15</v>
      </c>
      <c r="J450" s="3">
        <f>G450*H450*(1-I450)</f>
        <v>0</v>
      </c>
      <c r="K450" s="3">
        <f>G450*H450*0.65</f>
        <v>0</v>
      </c>
      <c r="L450" s="3">
        <f>J450-K450</f>
        <v>0</v>
      </c>
    </row>
    <row r="451" spans="1:12">
      <c r="A451" t="s">
        <v>514</v>
      </c>
      <c r="B451" s="2">
        <v>45474</v>
      </c>
      <c r="C451" t="s">
        <v>18</v>
      </c>
      <c r="D451" t="s">
        <v>19</v>
      </c>
      <c r="E451" t="s">
        <v>45</v>
      </c>
      <c r="F451" t="s">
        <v>46</v>
      </c>
      <c r="G451">
        <v>4</v>
      </c>
      <c r="H451" s="3">
        <v>96</v>
      </c>
      <c r="I451" s="4">
        <v>0.15</v>
      </c>
      <c r="J451" s="3">
        <f>G451*H451*(1-I451)</f>
        <v>0</v>
      </c>
      <c r="K451" s="3">
        <f>G451*H451*0.65</f>
        <v>0</v>
      </c>
      <c r="L451" s="3">
        <f>J451-K451</f>
        <v>0</v>
      </c>
    </row>
    <row r="452" spans="1:12">
      <c r="A452" t="s">
        <v>515</v>
      </c>
      <c r="B452" s="2">
        <v>44731</v>
      </c>
      <c r="C452" t="s">
        <v>55</v>
      </c>
      <c r="D452" t="s">
        <v>19</v>
      </c>
      <c r="E452" t="s">
        <v>20</v>
      </c>
      <c r="F452" t="s">
        <v>172</v>
      </c>
      <c r="G452">
        <v>12</v>
      </c>
      <c r="H452" s="3">
        <v>764</v>
      </c>
      <c r="I452" s="4">
        <v>0</v>
      </c>
      <c r="J452" s="3">
        <f>G452*H452*(1-I452)</f>
        <v>0</v>
      </c>
      <c r="K452" s="3">
        <f>G452*H452*0.65</f>
        <v>0</v>
      </c>
      <c r="L452" s="3">
        <f>J452-K452</f>
        <v>0</v>
      </c>
    </row>
    <row r="453" spans="1:12">
      <c r="A453" t="s">
        <v>516</v>
      </c>
      <c r="B453" s="2">
        <v>45507</v>
      </c>
      <c r="C453" t="s">
        <v>13</v>
      </c>
      <c r="D453" t="s">
        <v>23</v>
      </c>
      <c r="E453" t="s">
        <v>24</v>
      </c>
      <c r="F453" t="s">
        <v>25</v>
      </c>
      <c r="G453">
        <v>8</v>
      </c>
      <c r="H453" s="3">
        <v>65</v>
      </c>
      <c r="I453" s="4">
        <v>0.05</v>
      </c>
      <c r="J453" s="3">
        <f>G453*H453*(1-I453)</f>
        <v>0</v>
      </c>
      <c r="K453" s="3">
        <f>G453*H453*0.65</f>
        <v>0</v>
      </c>
      <c r="L453" s="3">
        <f>J453-K453</f>
        <v>0</v>
      </c>
    </row>
    <row r="454" spans="1:12">
      <c r="A454" t="s">
        <v>517</v>
      </c>
      <c r="B454" s="2">
        <v>45356</v>
      </c>
      <c r="C454" t="s">
        <v>55</v>
      </c>
      <c r="D454" t="s">
        <v>19</v>
      </c>
      <c r="E454" t="s">
        <v>20</v>
      </c>
      <c r="F454" t="s">
        <v>51</v>
      </c>
      <c r="G454">
        <v>2</v>
      </c>
      <c r="H454" s="3">
        <v>54</v>
      </c>
      <c r="I454" s="4">
        <v>0.15</v>
      </c>
      <c r="J454" s="3">
        <f>G454*H454*(1-I454)</f>
        <v>0</v>
      </c>
      <c r="K454" s="3">
        <f>G454*H454*0.65</f>
        <v>0</v>
      </c>
      <c r="L454" s="3">
        <f>J454-K454</f>
        <v>0</v>
      </c>
    </row>
    <row r="455" spans="1:12">
      <c r="A455" t="s">
        <v>518</v>
      </c>
      <c r="B455" s="2">
        <v>45195</v>
      </c>
      <c r="C455" t="s">
        <v>35</v>
      </c>
      <c r="D455" t="s">
        <v>14</v>
      </c>
      <c r="E455" t="s">
        <v>15</v>
      </c>
      <c r="F455" t="s">
        <v>16</v>
      </c>
      <c r="G455">
        <v>9</v>
      </c>
      <c r="H455" s="3">
        <v>9</v>
      </c>
      <c r="I455" s="4">
        <v>0</v>
      </c>
      <c r="J455" s="3">
        <f>G455*H455*(1-I455)</f>
        <v>0</v>
      </c>
      <c r="K455" s="3">
        <f>G455*H455*0.65</f>
        <v>0</v>
      </c>
      <c r="L455" s="3">
        <f>J455-K455</f>
        <v>0</v>
      </c>
    </row>
    <row r="456" spans="1:12">
      <c r="A456" t="s">
        <v>519</v>
      </c>
      <c r="B456" s="2">
        <v>44590</v>
      </c>
      <c r="C456" t="s">
        <v>35</v>
      </c>
      <c r="D456" t="s">
        <v>23</v>
      </c>
      <c r="E456" t="s">
        <v>36</v>
      </c>
      <c r="F456" t="s">
        <v>74</v>
      </c>
      <c r="G456">
        <v>13</v>
      </c>
      <c r="H456" s="3">
        <v>150</v>
      </c>
      <c r="I456" s="4">
        <v>0.05</v>
      </c>
      <c r="J456" s="3">
        <f>G456*H456*(1-I456)</f>
        <v>0</v>
      </c>
      <c r="K456" s="3">
        <f>G456*H456*0.65</f>
        <v>0</v>
      </c>
      <c r="L456" s="3">
        <f>J456-K456</f>
        <v>0</v>
      </c>
    </row>
    <row r="457" spans="1:12">
      <c r="A457" t="s">
        <v>520</v>
      </c>
      <c r="B457" s="2">
        <v>44900</v>
      </c>
      <c r="C457" t="s">
        <v>43</v>
      </c>
      <c r="D457" t="s">
        <v>14</v>
      </c>
      <c r="E457" t="s">
        <v>15</v>
      </c>
      <c r="F457" t="s">
        <v>16</v>
      </c>
      <c r="G457">
        <v>14</v>
      </c>
      <c r="H457" s="3">
        <v>19</v>
      </c>
      <c r="I457" s="4">
        <v>0.15</v>
      </c>
      <c r="J457" s="3">
        <f>G457*H457*(1-I457)</f>
        <v>0</v>
      </c>
      <c r="K457" s="3">
        <f>G457*H457*0.65</f>
        <v>0</v>
      </c>
      <c r="L457" s="3">
        <f>J457-K457</f>
        <v>0</v>
      </c>
    </row>
    <row r="458" spans="1:12">
      <c r="A458" t="s">
        <v>521</v>
      </c>
      <c r="B458" s="2">
        <v>45061</v>
      </c>
      <c r="C458" t="s">
        <v>13</v>
      </c>
      <c r="D458" t="s">
        <v>19</v>
      </c>
      <c r="E458" t="s">
        <v>45</v>
      </c>
      <c r="F458" t="s">
        <v>46</v>
      </c>
      <c r="G458">
        <v>6</v>
      </c>
      <c r="H458" s="3">
        <v>66</v>
      </c>
      <c r="I458" s="4">
        <v>0.05</v>
      </c>
      <c r="J458" s="3">
        <f>G458*H458*(1-I458)</f>
        <v>0</v>
      </c>
      <c r="K458" s="3">
        <f>G458*H458*0.65</f>
        <v>0</v>
      </c>
      <c r="L458" s="3">
        <f>J458-K458</f>
        <v>0</v>
      </c>
    </row>
    <row r="459" spans="1:12">
      <c r="A459" t="s">
        <v>522</v>
      </c>
      <c r="B459" s="2">
        <v>45072</v>
      </c>
      <c r="C459" t="s">
        <v>55</v>
      </c>
      <c r="D459" t="s">
        <v>19</v>
      </c>
      <c r="E459" t="s">
        <v>45</v>
      </c>
      <c r="F459" t="s">
        <v>99</v>
      </c>
      <c r="G459">
        <v>9</v>
      </c>
      <c r="H459" s="3">
        <v>42</v>
      </c>
      <c r="I459" s="4">
        <v>0</v>
      </c>
      <c r="J459" s="3">
        <f>G459*H459*(1-I459)</f>
        <v>0</v>
      </c>
      <c r="K459" s="3">
        <f>G459*H459*0.65</f>
        <v>0</v>
      </c>
      <c r="L459" s="3">
        <f>J459-K459</f>
        <v>0</v>
      </c>
    </row>
    <row r="460" spans="1:12">
      <c r="A460" t="s">
        <v>523</v>
      </c>
      <c r="B460" s="2">
        <v>44778</v>
      </c>
      <c r="C460" t="s">
        <v>18</v>
      </c>
      <c r="D460" t="s">
        <v>19</v>
      </c>
      <c r="E460" t="s">
        <v>45</v>
      </c>
      <c r="F460" t="s">
        <v>97</v>
      </c>
      <c r="G460">
        <v>8</v>
      </c>
      <c r="H460" s="3">
        <v>133</v>
      </c>
      <c r="I460" s="4">
        <v>0.05</v>
      </c>
      <c r="J460" s="3">
        <f>G460*H460*(1-I460)</f>
        <v>0</v>
      </c>
      <c r="K460" s="3">
        <f>G460*H460*0.65</f>
        <v>0</v>
      </c>
      <c r="L460" s="3">
        <f>J460-K460</f>
        <v>0</v>
      </c>
    </row>
    <row r="461" spans="1:12">
      <c r="A461" t="s">
        <v>524</v>
      </c>
      <c r="B461" s="2">
        <v>45655</v>
      </c>
      <c r="C461" t="s">
        <v>35</v>
      </c>
      <c r="D461" t="s">
        <v>23</v>
      </c>
      <c r="E461" t="s">
        <v>24</v>
      </c>
      <c r="F461" t="s">
        <v>117</v>
      </c>
      <c r="G461">
        <v>7</v>
      </c>
      <c r="H461" s="3">
        <v>37</v>
      </c>
      <c r="I461" s="4">
        <v>0</v>
      </c>
      <c r="J461" s="3">
        <f>G461*H461*(1-I461)</f>
        <v>0</v>
      </c>
      <c r="K461" s="3">
        <f>G461*H461*0.65</f>
        <v>0</v>
      </c>
      <c r="L461" s="3">
        <f>J461-K461</f>
        <v>0</v>
      </c>
    </row>
    <row r="462" spans="1:12">
      <c r="A462" t="s">
        <v>525</v>
      </c>
      <c r="B462" s="2">
        <v>45006</v>
      </c>
      <c r="C462" t="s">
        <v>35</v>
      </c>
      <c r="D462" t="s">
        <v>14</v>
      </c>
      <c r="E462" t="s">
        <v>15</v>
      </c>
      <c r="F462" t="s">
        <v>80</v>
      </c>
      <c r="G462">
        <v>13</v>
      </c>
      <c r="H462" s="3">
        <v>34</v>
      </c>
      <c r="I462" s="4">
        <v>0.05</v>
      </c>
      <c r="J462" s="3">
        <f>G462*H462*(1-I462)</f>
        <v>0</v>
      </c>
      <c r="K462" s="3">
        <f>G462*H462*0.65</f>
        <v>0</v>
      </c>
      <c r="L462" s="3">
        <f>J462-K462</f>
        <v>0</v>
      </c>
    </row>
    <row r="463" spans="1:12">
      <c r="A463" t="s">
        <v>526</v>
      </c>
      <c r="B463" s="2">
        <v>45437</v>
      </c>
      <c r="C463" t="s">
        <v>18</v>
      </c>
      <c r="D463" t="s">
        <v>23</v>
      </c>
      <c r="E463" t="s">
        <v>24</v>
      </c>
      <c r="F463" t="s">
        <v>25</v>
      </c>
      <c r="G463">
        <v>14</v>
      </c>
      <c r="H463" s="3">
        <v>89</v>
      </c>
      <c r="I463" s="4">
        <v>0</v>
      </c>
      <c r="J463" s="3">
        <f>G463*H463*(1-I463)</f>
        <v>0</v>
      </c>
      <c r="K463" s="3">
        <f>G463*H463*0.65</f>
        <v>0</v>
      </c>
      <c r="L463" s="3">
        <f>J463-K463</f>
        <v>0</v>
      </c>
    </row>
    <row r="464" spans="1:12">
      <c r="A464" t="s">
        <v>527</v>
      </c>
      <c r="B464" s="2">
        <v>44728</v>
      </c>
      <c r="C464" t="s">
        <v>55</v>
      </c>
      <c r="D464" t="s">
        <v>23</v>
      </c>
      <c r="E464" t="s">
        <v>68</v>
      </c>
      <c r="F464" t="s">
        <v>93</v>
      </c>
      <c r="G464">
        <v>1</v>
      </c>
      <c r="H464" s="3">
        <v>277</v>
      </c>
      <c r="I464" s="4">
        <v>0.05</v>
      </c>
      <c r="J464" s="3">
        <f>G464*H464*(1-I464)</f>
        <v>0</v>
      </c>
      <c r="K464" s="3">
        <f>G464*H464*0.65</f>
        <v>0</v>
      </c>
      <c r="L464" s="3">
        <f>J464-K464</f>
        <v>0</v>
      </c>
    </row>
    <row r="465" spans="1:12">
      <c r="A465" t="s">
        <v>528</v>
      </c>
      <c r="B465" s="2">
        <v>44652</v>
      </c>
      <c r="C465" t="s">
        <v>55</v>
      </c>
      <c r="D465" t="s">
        <v>19</v>
      </c>
      <c r="E465" t="s">
        <v>45</v>
      </c>
      <c r="F465" t="s">
        <v>97</v>
      </c>
      <c r="G465">
        <v>14</v>
      </c>
      <c r="H465" s="3">
        <v>102</v>
      </c>
      <c r="I465" s="4">
        <v>0.05</v>
      </c>
      <c r="J465" s="3">
        <f>G465*H465*(1-I465)</f>
        <v>0</v>
      </c>
      <c r="K465" s="3">
        <f>G465*H465*0.65</f>
        <v>0</v>
      </c>
      <c r="L465" s="3">
        <f>J465-K465</f>
        <v>0</v>
      </c>
    </row>
    <row r="466" spans="1:12">
      <c r="A466" t="s">
        <v>529</v>
      </c>
      <c r="B466" s="2">
        <v>45275</v>
      </c>
      <c r="C466" t="s">
        <v>13</v>
      </c>
      <c r="D466" t="s">
        <v>23</v>
      </c>
      <c r="E466" t="s">
        <v>36</v>
      </c>
      <c r="F466" t="s">
        <v>76</v>
      </c>
      <c r="G466">
        <v>12</v>
      </c>
      <c r="H466" s="3">
        <v>30</v>
      </c>
      <c r="I466" s="4">
        <v>0.1</v>
      </c>
      <c r="J466" s="3">
        <f>G466*H466*(1-I466)</f>
        <v>0</v>
      </c>
      <c r="K466" s="3">
        <f>G466*H466*0.65</f>
        <v>0</v>
      </c>
      <c r="L466" s="3">
        <f>J466-K466</f>
        <v>0</v>
      </c>
    </row>
    <row r="467" spans="1:12">
      <c r="A467" t="s">
        <v>530</v>
      </c>
      <c r="B467" s="2">
        <v>44600</v>
      </c>
      <c r="C467" t="s">
        <v>13</v>
      </c>
      <c r="D467" t="s">
        <v>23</v>
      </c>
      <c r="E467" t="s">
        <v>24</v>
      </c>
      <c r="F467" t="s">
        <v>25</v>
      </c>
      <c r="G467">
        <v>3</v>
      </c>
      <c r="H467" s="3">
        <v>65</v>
      </c>
      <c r="I467" s="4">
        <v>0.05</v>
      </c>
      <c r="J467" s="3">
        <f>G467*H467*(1-I467)</f>
        <v>0</v>
      </c>
      <c r="K467" s="3">
        <f>G467*H467*0.65</f>
        <v>0</v>
      </c>
      <c r="L467" s="3">
        <f>J467-K467</f>
        <v>0</v>
      </c>
    </row>
    <row r="468" spans="1:12">
      <c r="A468" t="s">
        <v>531</v>
      </c>
      <c r="B468" s="2">
        <v>44734</v>
      </c>
      <c r="C468" t="s">
        <v>43</v>
      </c>
      <c r="D468" t="s">
        <v>19</v>
      </c>
      <c r="E468" t="s">
        <v>20</v>
      </c>
      <c r="F468" t="s">
        <v>21</v>
      </c>
      <c r="G468">
        <v>11</v>
      </c>
      <c r="H468" s="3">
        <v>64</v>
      </c>
      <c r="I468" s="4">
        <v>0.05</v>
      </c>
      <c r="J468" s="3">
        <f>G468*H468*(1-I468)</f>
        <v>0</v>
      </c>
      <c r="K468" s="3">
        <f>G468*H468*0.65</f>
        <v>0</v>
      </c>
      <c r="L468" s="3">
        <f>J468-K468</f>
        <v>0</v>
      </c>
    </row>
    <row r="469" spans="1:12">
      <c r="A469" t="s">
        <v>532</v>
      </c>
      <c r="B469" s="2">
        <v>45214</v>
      </c>
      <c r="C469" t="s">
        <v>35</v>
      </c>
      <c r="D469" t="s">
        <v>23</v>
      </c>
      <c r="E469" t="s">
        <v>24</v>
      </c>
      <c r="F469" t="s">
        <v>25</v>
      </c>
      <c r="G469">
        <v>14</v>
      </c>
      <c r="H469" s="3">
        <v>95</v>
      </c>
      <c r="I469" s="4">
        <v>0.05</v>
      </c>
      <c r="J469" s="3">
        <f>G469*H469*(1-I469)</f>
        <v>0</v>
      </c>
      <c r="K469" s="3">
        <f>G469*H469*0.65</f>
        <v>0</v>
      </c>
      <c r="L469" s="3">
        <f>J469-K469</f>
        <v>0</v>
      </c>
    </row>
    <row r="470" spans="1:12">
      <c r="A470" t="s">
        <v>533</v>
      </c>
      <c r="B470" s="2">
        <v>45315</v>
      </c>
      <c r="C470" t="s">
        <v>13</v>
      </c>
      <c r="D470" t="s">
        <v>19</v>
      </c>
      <c r="E470" t="s">
        <v>30</v>
      </c>
      <c r="F470" t="s">
        <v>83</v>
      </c>
      <c r="G470">
        <v>2</v>
      </c>
      <c r="H470" s="3">
        <v>92</v>
      </c>
      <c r="I470" s="4">
        <v>0</v>
      </c>
      <c r="J470" s="3">
        <f>G470*H470*(1-I470)</f>
        <v>0</v>
      </c>
      <c r="K470" s="3">
        <f>G470*H470*0.65</f>
        <v>0</v>
      </c>
      <c r="L470" s="3">
        <f>J470-K470</f>
        <v>0</v>
      </c>
    </row>
    <row r="471" spans="1:12">
      <c r="A471" t="s">
        <v>534</v>
      </c>
      <c r="B471" s="2">
        <v>45643</v>
      </c>
      <c r="C471" t="s">
        <v>55</v>
      </c>
      <c r="D471" t="s">
        <v>19</v>
      </c>
      <c r="E471" t="s">
        <v>20</v>
      </c>
      <c r="F471" t="s">
        <v>172</v>
      </c>
      <c r="G471">
        <v>5</v>
      </c>
      <c r="H471" s="3">
        <v>803</v>
      </c>
      <c r="I471" s="4">
        <v>0.05</v>
      </c>
      <c r="J471" s="3">
        <f>G471*H471*(1-I471)</f>
        <v>0</v>
      </c>
      <c r="K471" s="3">
        <f>G471*H471*0.65</f>
        <v>0</v>
      </c>
      <c r="L471" s="3">
        <f>J471-K471</f>
        <v>0</v>
      </c>
    </row>
    <row r="472" spans="1:12">
      <c r="A472" t="s">
        <v>535</v>
      </c>
      <c r="B472" s="2">
        <v>45037</v>
      </c>
      <c r="C472" t="s">
        <v>18</v>
      </c>
      <c r="D472" t="s">
        <v>19</v>
      </c>
      <c r="E472" t="s">
        <v>30</v>
      </c>
      <c r="F472" t="s">
        <v>39</v>
      </c>
      <c r="G472">
        <v>5</v>
      </c>
      <c r="H472" s="3">
        <v>52</v>
      </c>
      <c r="I472" s="4">
        <v>0</v>
      </c>
      <c r="J472" s="3">
        <f>G472*H472*(1-I472)</f>
        <v>0</v>
      </c>
      <c r="K472" s="3">
        <f>G472*H472*0.65</f>
        <v>0</v>
      </c>
      <c r="L472" s="3">
        <f>J472-K472</f>
        <v>0</v>
      </c>
    </row>
    <row r="473" spans="1:12">
      <c r="A473" t="s">
        <v>536</v>
      </c>
      <c r="B473" s="2">
        <v>45017</v>
      </c>
      <c r="C473" t="s">
        <v>55</v>
      </c>
      <c r="D473" t="s">
        <v>19</v>
      </c>
      <c r="E473" t="s">
        <v>30</v>
      </c>
      <c r="F473" t="s">
        <v>83</v>
      </c>
      <c r="G473">
        <v>5</v>
      </c>
      <c r="H473" s="3">
        <v>38</v>
      </c>
      <c r="I473" s="4">
        <v>0.15</v>
      </c>
      <c r="J473" s="3">
        <f>G473*H473*(1-I473)</f>
        <v>0</v>
      </c>
      <c r="K473" s="3">
        <f>G473*H473*0.65</f>
        <v>0</v>
      </c>
      <c r="L473" s="3">
        <f>J473-K473</f>
        <v>0</v>
      </c>
    </row>
    <row r="474" spans="1:12">
      <c r="A474" t="s">
        <v>537</v>
      </c>
      <c r="B474" s="2">
        <v>45390</v>
      </c>
      <c r="C474" t="s">
        <v>35</v>
      </c>
      <c r="D474" t="s">
        <v>23</v>
      </c>
      <c r="E474" t="s">
        <v>68</v>
      </c>
      <c r="F474" t="s">
        <v>152</v>
      </c>
      <c r="G474">
        <v>4</v>
      </c>
      <c r="H474" s="3">
        <v>183</v>
      </c>
      <c r="I474" s="4">
        <v>0</v>
      </c>
      <c r="J474" s="3">
        <f>G474*H474*(1-I474)</f>
        <v>0</v>
      </c>
      <c r="K474" s="3">
        <f>G474*H474*0.65</f>
        <v>0</v>
      </c>
      <c r="L474" s="3">
        <f>J474-K474</f>
        <v>0</v>
      </c>
    </row>
    <row r="475" spans="1:12">
      <c r="A475" t="s">
        <v>538</v>
      </c>
      <c r="B475" s="2">
        <v>45456</v>
      </c>
      <c r="C475" t="s">
        <v>55</v>
      </c>
      <c r="D475" t="s">
        <v>19</v>
      </c>
      <c r="E475" t="s">
        <v>45</v>
      </c>
      <c r="F475" t="s">
        <v>46</v>
      </c>
      <c r="G475">
        <v>5</v>
      </c>
      <c r="H475" s="3">
        <v>75</v>
      </c>
      <c r="I475" s="4">
        <v>0.05</v>
      </c>
      <c r="J475" s="3">
        <f>G475*H475*(1-I475)</f>
        <v>0</v>
      </c>
      <c r="K475" s="3">
        <f>G475*H475*0.65</f>
        <v>0</v>
      </c>
      <c r="L475" s="3">
        <f>J475-K475</f>
        <v>0</v>
      </c>
    </row>
    <row r="476" spans="1:12">
      <c r="A476" t="s">
        <v>539</v>
      </c>
      <c r="B476" s="2">
        <v>45586</v>
      </c>
      <c r="C476" t="s">
        <v>43</v>
      </c>
      <c r="D476" t="s">
        <v>19</v>
      </c>
      <c r="E476" t="s">
        <v>20</v>
      </c>
      <c r="F476" t="s">
        <v>172</v>
      </c>
      <c r="G476">
        <v>3</v>
      </c>
      <c r="H476" s="3">
        <v>905</v>
      </c>
      <c r="I476" s="4">
        <v>0.05</v>
      </c>
      <c r="J476" s="3">
        <f>G476*H476*(1-I476)</f>
        <v>0</v>
      </c>
      <c r="K476" s="3">
        <f>G476*H476*0.65</f>
        <v>0</v>
      </c>
      <c r="L476" s="3">
        <f>J476-K476</f>
        <v>0</v>
      </c>
    </row>
    <row r="477" spans="1:12">
      <c r="A477" t="s">
        <v>540</v>
      </c>
      <c r="B477" s="2">
        <v>44948</v>
      </c>
      <c r="C477" t="s">
        <v>35</v>
      </c>
      <c r="D477" t="s">
        <v>23</v>
      </c>
      <c r="E477" t="s">
        <v>24</v>
      </c>
      <c r="F477" t="s">
        <v>25</v>
      </c>
      <c r="G477">
        <v>12</v>
      </c>
      <c r="H477" s="3">
        <v>33</v>
      </c>
      <c r="I477" s="4">
        <v>0.05</v>
      </c>
      <c r="J477" s="3">
        <f>G477*H477*(1-I477)</f>
        <v>0</v>
      </c>
      <c r="K477" s="3">
        <f>G477*H477*0.65</f>
        <v>0</v>
      </c>
      <c r="L477" s="3">
        <f>J477-K477</f>
        <v>0</v>
      </c>
    </row>
    <row r="478" spans="1:12">
      <c r="A478" t="s">
        <v>541</v>
      </c>
      <c r="B478" s="2">
        <v>44909</v>
      </c>
      <c r="C478" t="s">
        <v>18</v>
      </c>
      <c r="D478" t="s">
        <v>23</v>
      </c>
      <c r="E478" t="s">
        <v>36</v>
      </c>
      <c r="F478" t="s">
        <v>37</v>
      </c>
      <c r="G478">
        <v>1</v>
      </c>
      <c r="H478" s="3">
        <v>59</v>
      </c>
      <c r="I478" s="4">
        <v>0</v>
      </c>
      <c r="J478" s="3">
        <f>G478*H478*(1-I478)</f>
        <v>0</v>
      </c>
      <c r="K478" s="3">
        <f>G478*H478*0.65</f>
        <v>0</v>
      </c>
      <c r="L478" s="3">
        <f>J478-K478</f>
        <v>0</v>
      </c>
    </row>
    <row r="479" spans="1:12">
      <c r="A479" t="s">
        <v>542</v>
      </c>
      <c r="B479" s="2">
        <v>44751</v>
      </c>
      <c r="C479" t="s">
        <v>43</v>
      </c>
      <c r="D479" t="s">
        <v>14</v>
      </c>
      <c r="E479" t="s">
        <v>57</v>
      </c>
      <c r="F479" t="s">
        <v>58</v>
      </c>
      <c r="G479">
        <v>5</v>
      </c>
      <c r="H479" s="3">
        <v>124</v>
      </c>
      <c r="I479" s="4">
        <v>0.05</v>
      </c>
      <c r="J479" s="3">
        <f>G479*H479*(1-I479)</f>
        <v>0</v>
      </c>
      <c r="K479" s="3">
        <f>G479*H479*0.65</f>
        <v>0</v>
      </c>
      <c r="L479" s="3">
        <f>J479-K479</f>
        <v>0</v>
      </c>
    </row>
    <row r="480" spans="1:12">
      <c r="A480" t="s">
        <v>543</v>
      </c>
      <c r="B480" s="2">
        <v>45066</v>
      </c>
      <c r="C480" t="s">
        <v>35</v>
      </c>
      <c r="D480" t="s">
        <v>23</v>
      </c>
      <c r="E480" t="s">
        <v>24</v>
      </c>
      <c r="F480" t="s">
        <v>117</v>
      </c>
      <c r="G480">
        <v>13</v>
      </c>
      <c r="H480" s="3">
        <v>131</v>
      </c>
      <c r="I480" s="4">
        <v>0.05</v>
      </c>
      <c r="J480" s="3">
        <f>G480*H480*(1-I480)</f>
        <v>0</v>
      </c>
      <c r="K480" s="3">
        <f>G480*H480*0.65</f>
        <v>0</v>
      </c>
      <c r="L480" s="3">
        <f>J480-K480</f>
        <v>0</v>
      </c>
    </row>
    <row r="481" spans="1:12">
      <c r="A481" t="s">
        <v>544</v>
      </c>
      <c r="B481" s="2">
        <v>45385</v>
      </c>
      <c r="C481" t="s">
        <v>18</v>
      </c>
      <c r="D481" t="s">
        <v>23</v>
      </c>
      <c r="E481" t="s">
        <v>36</v>
      </c>
      <c r="F481" t="s">
        <v>37</v>
      </c>
      <c r="G481">
        <v>9</v>
      </c>
      <c r="H481" s="3">
        <v>104</v>
      </c>
      <c r="I481" s="4">
        <v>0.1</v>
      </c>
      <c r="J481" s="3">
        <f>G481*H481*(1-I481)</f>
        <v>0</v>
      </c>
      <c r="K481" s="3">
        <f>G481*H481*0.65</f>
        <v>0</v>
      </c>
      <c r="L481" s="3">
        <f>J481-K481</f>
        <v>0</v>
      </c>
    </row>
    <row r="482" spans="1:12">
      <c r="A482" t="s">
        <v>545</v>
      </c>
      <c r="B482" s="2">
        <v>45490</v>
      </c>
      <c r="C482" t="s">
        <v>43</v>
      </c>
      <c r="D482" t="s">
        <v>14</v>
      </c>
      <c r="E482" t="s">
        <v>15</v>
      </c>
      <c r="F482" t="s">
        <v>16</v>
      </c>
      <c r="G482">
        <v>13</v>
      </c>
      <c r="H482" s="3">
        <v>7</v>
      </c>
      <c r="I482" s="4">
        <v>0</v>
      </c>
      <c r="J482" s="3">
        <f>G482*H482*(1-I482)</f>
        <v>0</v>
      </c>
      <c r="K482" s="3">
        <f>G482*H482*0.65</f>
        <v>0</v>
      </c>
      <c r="L482" s="3">
        <f>J482-K482</f>
        <v>0</v>
      </c>
    </row>
    <row r="483" spans="1:12">
      <c r="A483" t="s">
        <v>546</v>
      </c>
      <c r="B483" s="2">
        <v>45495</v>
      </c>
      <c r="C483" t="s">
        <v>43</v>
      </c>
      <c r="D483" t="s">
        <v>23</v>
      </c>
      <c r="E483" t="s">
        <v>36</v>
      </c>
      <c r="F483" t="s">
        <v>74</v>
      </c>
      <c r="G483">
        <v>9</v>
      </c>
      <c r="H483" s="3">
        <v>221</v>
      </c>
      <c r="I483" s="4">
        <v>0.05</v>
      </c>
      <c r="J483" s="3">
        <f>G483*H483*(1-I483)</f>
        <v>0</v>
      </c>
      <c r="K483" s="3">
        <f>G483*H483*0.65</f>
        <v>0</v>
      </c>
      <c r="L483" s="3">
        <f>J483-K483</f>
        <v>0</v>
      </c>
    </row>
    <row r="484" spans="1:12">
      <c r="A484" t="s">
        <v>547</v>
      </c>
      <c r="B484" s="2">
        <v>44695</v>
      </c>
      <c r="C484" t="s">
        <v>35</v>
      </c>
      <c r="D484" t="s">
        <v>23</v>
      </c>
      <c r="E484" t="s">
        <v>36</v>
      </c>
      <c r="F484" t="s">
        <v>74</v>
      </c>
      <c r="G484">
        <v>4</v>
      </c>
      <c r="H484" s="3">
        <v>152</v>
      </c>
      <c r="I484" s="4">
        <v>0.05</v>
      </c>
      <c r="J484" s="3">
        <f>G484*H484*(1-I484)</f>
        <v>0</v>
      </c>
      <c r="K484" s="3">
        <f>G484*H484*0.65</f>
        <v>0</v>
      </c>
      <c r="L484" s="3">
        <f>J484-K484</f>
        <v>0</v>
      </c>
    </row>
    <row r="485" spans="1:12">
      <c r="A485" t="s">
        <v>548</v>
      </c>
      <c r="B485" s="2">
        <v>44619</v>
      </c>
      <c r="C485" t="s">
        <v>13</v>
      </c>
      <c r="D485" t="s">
        <v>23</v>
      </c>
      <c r="E485" t="s">
        <v>36</v>
      </c>
      <c r="F485" t="s">
        <v>41</v>
      </c>
      <c r="G485">
        <v>3</v>
      </c>
      <c r="H485" s="3">
        <v>43</v>
      </c>
      <c r="I485" s="4">
        <v>0.05</v>
      </c>
      <c r="J485" s="3">
        <f>G485*H485*(1-I485)</f>
        <v>0</v>
      </c>
      <c r="K485" s="3">
        <f>G485*H485*0.65</f>
        <v>0</v>
      </c>
      <c r="L485" s="3">
        <f>J485-K485</f>
        <v>0</v>
      </c>
    </row>
    <row r="486" spans="1:12">
      <c r="A486" t="s">
        <v>549</v>
      </c>
      <c r="B486" s="2">
        <v>45246</v>
      </c>
      <c r="C486" t="s">
        <v>43</v>
      </c>
      <c r="D486" t="s">
        <v>23</v>
      </c>
      <c r="E486" t="s">
        <v>68</v>
      </c>
      <c r="F486" t="s">
        <v>240</v>
      </c>
      <c r="G486">
        <v>1</v>
      </c>
      <c r="H486" s="3">
        <v>89</v>
      </c>
      <c r="I486" s="4">
        <v>0.05</v>
      </c>
      <c r="J486" s="3">
        <f>G486*H486*(1-I486)</f>
        <v>0</v>
      </c>
      <c r="K486" s="3">
        <f>G486*H486*0.65</f>
        <v>0</v>
      </c>
      <c r="L486" s="3">
        <f>J486-K486</f>
        <v>0</v>
      </c>
    </row>
    <row r="487" spans="1:12">
      <c r="A487" t="s">
        <v>550</v>
      </c>
      <c r="B487" s="2">
        <v>45233</v>
      </c>
      <c r="C487" t="s">
        <v>43</v>
      </c>
      <c r="D487" t="s">
        <v>14</v>
      </c>
      <c r="E487" t="s">
        <v>57</v>
      </c>
      <c r="F487" t="s">
        <v>149</v>
      </c>
      <c r="G487">
        <v>2</v>
      </c>
      <c r="H487" s="3">
        <v>17</v>
      </c>
      <c r="I487" s="4">
        <v>0.05</v>
      </c>
      <c r="J487" s="3">
        <f>G487*H487*(1-I487)</f>
        <v>0</v>
      </c>
      <c r="K487" s="3">
        <f>G487*H487*0.65</f>
        <v>0</v>
      </c>
      <c r="L487" s="3">
        <f>J487-K487</f>
        <v>0</v>
      </c>
    </row>
    <row r="488" spans="1:12">
      <c r="A488" t="s">
        <v>551</v>
      </c>
      <c r="B488" s="2">
        <v>44734</v>
      </c>
      <c r="C488" t="s">
        <v>18</v>
      </c>
      <c r="D488" t="s">
        <v>23</v>
      </c>
      <c r="E488" t="s">
        <v>36</v>
      </c>
      <c r="F488" t="s">
        <v>37</v>
      </c>
      <c r="G488">
        <v>8</v>
      </c>
      <c r="H488" s="3">
        <v>74</v>
      </c>
      <c r="I488" s="4">
        <v>0</v>
      </c>
      <c r="J488" s="3">
        <f>G488*H488*(1-I488)</f>
        <v>0</v>
      </c>
      <c r="K488" s="3">
        <f>G488*H488*0.65</f>
        <v>0</v>
      </c>
      <c r="L488" s="3">
        <f>J488-K488</f>
        <v>0</v>
      </c>
    </row>
    <row r="489" spans="1:12">
      <c r="A489" t="s">
        <v>552</v>
      </c>
      <c r="B489" s="2">
        <v>45376</v>
      </c>
      <c r="C489" t="s">
        <v>55</v>
      </c>
      <c r="D489" t="s">
        <v>23</v>
      </c>
      <c r="E489" t="s">
        <v>68</v>
      </c>
      <c r="F489" t="s">
        <v>152</v>
      </c>
      <c r="G489">
        <v>1</v>
      </c>
      <c r="H489" s="3">
        <v>373</v>
      </c>
      <c r="I489" s="4">
        <v>0</v>
      </c>
      <c r="J489" s="3">
        <f>G489*H489*(1-I489)</f>
        <v>0</v>
      </c>
      <c r="K489" s="3">
        <f>G489*H489*0.65</f>
        <v>0</v>
      </c>
      <c r="L489" s="3">
        <f>J489-K489</f>
        <v>0</v>
      </c>
    </row>
    <row r="490" spans="1:12">
      <c r="A490" t="s">
        <v>553</v>
      </c>
      <c r="B490" s="2">
        <v>44641</v>
      </c>
      <c r="C490" t="s">
        <v>35</v>
      </c>
      <c r="D490" t="s">
        <v>14</v>
      </c>
      <c r="E490" t="s">
        <v>27</v>
      </c>
      <c r="F490" t="s">
        <v>28</v>
      </c>
      <c r="G490">
        <v>8</v>
      </c>
      <c r="H490" s="3">
        <v>63</v>
      </c>
      <c r="I490" s="4">
        <v>0</v>
      </c>
      <c r="J490" s="3">
        <f>G490*H490*(1-I490)</f>
        <v>0</v>
      </c>
      <c r="K490" s="3">
        <f>G490*H490*0.65</f>
        <v>0</v>
      </c>
      <c r="L490" s="3">
        <f>J490-K490</f>
        <v>0</v>
      </c>
    </row>
    <row r="491" spans="1:12">
      <c r="A491" t="s">
        <v>554</v>
      </c>
      <c r="B491" s="2">
        <v>45447</v>
      </c>
      <c r="C491" t="s">
        <v>35</v>
      </c>
      <c r="D491" t="s">
        <v>19</v>
      </c>
      <c r="E491" t="s">
        <v>45</v>
      </c>
      <c r="F491" t="s">
        <v>97</v>
      </c>
      <c r="G491">
        <v>13</v>
      </c>
      <c r="H491" s="3">
        <v>74</v>
      </c>
      <c r="I491" s="4">
        <v>0</v>
      </c>
      <c r="J491" s="3">
        <f>G491*H491*(1-I491)</f>
        <v>0</v>
      </c>
      <c r="K491" s="3">
        <f>G491*H491*0.65</f>
        <v>0</v>
      </c>
      <c r="L491" s="3">
        <f>J491-K491</f>
        <v>0</v>
      </c>
    </row>
    <row r="492" spans="1:12">
      <c r="A492" t="s">
        <v>555</v>
      </c>
      <c r="B492" s="2">
        <v>44764</v>
      </c>
      <c r="C492" t="s">
        <v>13</v>
      </c>
      <c r="D492" t="s">
        <v>14</v>
      </c>
      <c r="E492" t="s">
        <v>27</v>
      </c>
      <c r="F492" t="s">
        <v>101</v>
      </c>
      <c r="G492">
        <v>7</v>
      </c>
      <c r="H492" s="3">
        <v>90</v>
      </c>
      <c r="I492" s="4">
        <v>0.05</v>
      </c>
      <c r="J492" s="3">
        <f>G492*H492*(1-I492)</f>
        <v>0</v>
      </c>
      <c r="K492" s="3">
        <f>G492*H492*0.65</f>
        <v>0</v>
      </c>
      <c r="L492" s="3">
        <f>J492-K492</f>
        <v>0</v>
      </c>
    </row>
    <row r="493" spans="1:12">
      <c r="A493" t="s">
        <v>556</v>
      </c>
      <c r="B493" s="2">
        <v>45325</v>
      </c>
      <c r="C493" t="s">
        <v>13</v>
      </c>
      <c r="D493" t="s">
        <v>19</v>
      </c>
      <c r="E493" t="s">
        <v>45</v>
      </c>
      <c r="F493" t="s">
        <v>86</v>
      </c>
      <c r="G493">
        <v>8</v>
      </c>
      <c r="H493" s="3">
        <v>112</v>
      </c>
      <c r="I493" s="4">
        <v>0.05</v>
      </c>
      <c r="J493" s="3">
        <f>G493*H493*(1-I493)</f>
        <v>0</v>
      </c>
      <c r="K493" s="3">
        <f>G493*H493*0.65</f>
        <v>0</v>
      </c>
      <c r="L493" s="3">
        <f>J493-K493</f>
        <v>0</v>
      </c>
    </row>
    <row r="494" spans="1:12">
      <c r="A494" t="s">
        <v>557</v>
      </c>
      <c r="B494" s="2">
        <v>44608</v>
      </c>
      <c r="C494" t="s">
        <v>35</v>
      </c>
      <c r="D494" t="s">
        <v>14</v>
      </c>
      <c r="E494" t="s">
        <v>57</v>
      </c>
      <c r="F494" t="s">
        <v>65</v>
      </c>
      <c r="G494">
        <v>12</v>
      </c>
      <c r="H494" s="3">
        <v>131</v>
      </c>
      <c r="I494" s="4">
        <v>0</v>
      </c>
      <c r="J494" s="3">
        <f>G494*H494*(1-I494)</f>
        <v>0</v>
      </c>
      <c r="K494" s="3">
        <f>G494*H494*0.65</f>
        <v>0</v>
      </c>
      <c r="L494" s="3">
        <f>J494-K494</f>
        <v>0</v>
      </c>
    </row>
    <row r="495" spans="1:12">
      <c r="A495" t="s">
        <v>558</v>
      </c>
      <c r="B495" s="2">
        <v>45217</v>
      </c>
      <c r="C495" t="s">
        <v>13</v>
      </c>
      <c r="D495" t="s">
        <v>14</v>
      </c>
      <c r="E495" t="s">
        <v>27</v>
      </c>
      <c r="F495" t="s">
        <v>63</v>
      </c>
      <c r="G495">
        <v>6</v>
      </c>
      <c r="H495" s="3">
        <v>45</v>
      </c>
      <c r="I495" s="4">
        <v>0.15</v>
      </c>
      <c r="J495" s="3">
        <f>G495*H495*(1-I495)</f>
        <v>0</v>
      </c>
      <c r="K495" s="3">
        <f>G495*H495*0.65</f>
        <v>0</v>
      </c>
      <c r="L495" s="3">
        <f>J495-K495</f>
        <v>0</v>
      </c>
    </row>
    <row r="496" spans="1:12">
      <c r="A496" t="s">
        <v>559</v>
      </c>
      <c r="B496" s="2">
        <v>45032</v>
      </c>
      <c r="C496" t="s">
        <v>18</v>
      </c>
      <c r="D496" t="s">
        <v>23</v>
      </c>
      <c r="E496" t="s">
        <v>36</v>
      </c>
      <c r="F496" t="s">
        <v>41</v>
      </c>
      <c r="G496">
        <v>12</v>
      </c>
      <c r="H496" s="3">
        <v>95</v>
      </c>
      <c r="I496" s="4">
        <v>0</v>
      </c>
      <c r="J496" s="3">
        <f>G496*H496*(1-I496)</f>
        <v>0</v>
      </c>
      <c r="K496" s="3">
        <f>G496*H496*0.65</f>
        <v>0</v>
      </c>
      <c r="L496" s="3">
        <f>J496-K496</f>
        <v>0</v>
      </c>
    </row>
    <row r="497" spans="1:12">
      <c r="A497" t="s">
        <v>560</v>
      </c>
      <c r="B497" s="2">
        <v>45532</v>
      </c>
      <c r="C497" t="s">
        <v>35</v>
      </c>
      <c r="D497" t="s">
        <v>19</v>
      </c>
      <c r="E497" t="s">
        <v>20</v>
      </c>
      <c r="F497" t="s">
        <v>21</v>
      </c>
      <c r="G497">
        <v>14</v>
      </c>
      <c r="H497" s="3">
        <v>69</v>
      </c>
      <c r="I497" s="4">
        <v>0.1</v>
      </c>
      <c r="J497" s="3">
        <f>G497*H497*(1-I497)</f>
        <v>0</v>
      </c>
      <c r="K497" s="3">
        <f>G497*H497*0.65</f>
        <v>0</v>
      </c>
      <c r="L497" s="3">
        <f>J497-K497</f>
        <v>0</v>
      </c>
    </row>
    <row r="498" spans="1:12">
      <c r="A498" t="s">
        <v>561</v>
      </c>
      <c r="B498" s="2">
        <v>45597</v>
      </c>
      <c r="C498" t="s">
        <v>13</v>
      </c>
      <c r="D498" t="s">
        <v>23</v>
      </c>
      <c r="E498" t="s">
        <v>36</v>
      </c>
      <c r="F498" t="s">
        <v>37</v>
      </c>
      <c r="G498">
        <v>9</v>
      </c>
      <c r="H498" s="3">
        <v>46</v>
      </c>
      <c r="I498" s="4">
        <v>0.05</v>
      </c>
      <c r="J498" s="3">
        <f>G498*H498*(1-I498)</f>
        <v>0</v>
      </c>
      <c r="K498" s="3">
        <f>G498*H498*0.65</f>
        <v>0</v>
      </c>
      <c r="L498" s="3">
        <f>J498-K498</f>
        <v>0</v>
      </c>
    </row>
    <row r="499" spans="1:12">
      <c r="A499" t="s">
        <v>562</v>
      </c>
      <c r="B499" s="2">
        <v>45297</v>
      </c>
      <c r="C499" t="s">
        <v>35</v>
      </c>
      <c r="D499" t="s">
        <v>19</v>
      </c>
      <c r="E499" t="s">
        <v>20</v>
      </c>
      <c r="F499" t="s">
        <v>49</v>
      </c>
      <c r="G499">
        <v>3</v>
      </c>
      <c r="H499" s="3">
        <v>1174</v>
      </c>
      <c r="I499" s="4">
        <v>0</v>
      </c>
      <c r="J499" s="3">
        <f>G499*H499*(1-I499)</f>
        <v>0</v>
      </c>
      <c r="K499" s="3">
        <f>G499*H499*0.65</f>
        <v>0</v>
      </c>
      <c r="L499" s="3">
        <f>J499-K499</f>
        <v>0</v>
      </c>
    </row>
    <row r="500" spans="1:12">
      <c r="A500" t="s">
        <v>563</v>
      </c>
      <c r="B500" s="2">
        <v>45345</v>
      </c>
      <c r="C500" t="s">
        <v>55</v>
      </c>
      <c r="D500" t="s">
        <v>14</v>
      </c>
      <c r="E500" t="s">
        <v>57</v>
      </c>
      <c r="F500" t="s">
        <v>65</v>
      </c>
      <c r="G500">
        <v>10</v>
      </c>
      <c r="H500" s="3">
        <v>63</v>
      </c>
      <c r="I500" s="4">
        <v>0</v>
      </c>
      <c r="J500" s="3">
        <f>G500*H500*(1-I500)</f>
        <v>0</v>
      </c>
      <c r="K500" s="3">
        <f>G500*H500*0.65</f>
        <v>0</v>
      </c>
      <c r="L500" s="3">
        <f>J500-K500</f>
        <v>0</v>
      </c>
    </row>
    <row r="501" spans="1:12">
      <c r="A501" t="s">
        <v>564</v>
      </c>
      <c r="B501" s="2">
        <v>45529</v>
      </c>
      <c r="C501" t="s">
        <v>43</v>
      </c>
      <c r="D501" t="s">
        <v>14</v>
      </c>
      <c r="E501" t="s">
        <v>27</v>
      </c>
      <c r="F501" t="s">
        <v>63</v>
      </c>
      <c r="G501">
        <v>4</v>
      </c>
      <c r="H501" s="3">
        <v>135</v>
      </c>
      <c r="I501" s="4">
        <v>0.05</v>
      </c>
      <c r="J501" s="3">
        <f>G501*H501*(1-I501)</f>
        <v>0</v>
      </c>
      <c r="K501" s="3">
        <f>G501*H501*0.65</f>
        <v>0</v>
      </c>
      <c r="L501" s="3">
        <f>J501-K501</f>
        <v>0</v>
      </c>
    </row>
    <row r="502" spans="1:12">
      <c r="A502" t="s">
        <v>565</v>
      </c>
      <c r="B502" s="2">
        <v>44919</v>
      </c>
      <c r="C502" t="s">
        <v>35</v>
      </c>
      <c r="D502" t="s">
        <v>19</v>
      </c>
      <c r="E502" t="s">
        <v>20</v>
      </c>
      <c r="F502" t="s">
        <v>172</v>
      </c>
      <c r="G502">
        <v>13</v>
      </c>
      <c r="H502" s="3">
        <v>823</v>
      </c>
      <c r="I502" s="4">
        <v>0</v>
      </c>
      <c r="J502" s="3">
        <f>G502*H502*(1-I502)</f>
        <v>0</v>
      </c>
      <c r="K502" s="3">
        <f>G502*H502*0.65</f>
        <v>0</v>
      </c>
      <c r="L502" s="3">
        <f>J502-K502</f>
        <v>0</v>
      </c>
    </row>
    <row r="503" spans="1:12">
      <c r="A503" t="s">
        <v>566</v>
      </c>
      <c r="B503" s="2">
        <v>45533</v>
      </c>
      <c r="C503" t="s">
        <v>43</v>
      </c>
      <c r="D503" t="s">
        <v>23</v>
      </c>
      <c r="E503" t="s">
        <v>36</v>
      </c>
      <c r="F503" t="s">
        <v>41</v>
      </c>
      <c r="G503">
        <v>6</v>
      </c>
      <c r="H503" s="3">
        <v>45</v>
      </c>
      <c r="I503" s="4">
        <v>0.15</v>
      </c>
      <c r="J503" s="3">
        <f>G503*H503*(1-I503)</f>
        <v>0</v>
      </c>
      <c r="K503" s="3">
        <f>G503*H503*0.65</f>
        <v>0</v>
      </c>
      <c r="L503" s="3">
        <f>J503-K503</f>
        <v>0</v>
      </c>
    </row>
    <row r="504" spans="1:12">
      <c r="A504" t="s">
        <v>567</v>
      </c>
      <c r="B504" s="2">
        <v>45229</v>
      </c>
      <c r="C504" t="s">
        <v>13</v>
      </c>
      <c r="D504" t="s">
        <v>23</v>
      </c>
      <c r="E504" t="s">
        <v>68</v>
      </c>
      <c r="F504" t="s">
        <v>93</v>
      </c>
      <c r="G504">
        <v>8</v>
      </c>
      <c r="H504" s="3">
        <v>251</v>
      </c>
      <c r="I504" s="4">
        <v>0.05</v>
      </c>
      <c r="J504" s="3">
        <f>G504*H504*(1-I504)</f>
        <v>0</v>
      </c>
      <c r="K504" s="3">
        <f>G504*H504*0.65</f>
        <v>0</v>
      </c>
      <c r="L504" s="3">
        <f>J504-K504</f>
        <v>0</v>
      </c>
    </row>
    <row r="505" spans="1:12">
      <c r="A505" t="s">
        <v>568</v>
      </c>
      <c r="B505" s="2">
        <v>44934</v>
      </c>
      <c r="C505" t="s">
        <v>43</v>
      </c>
      <c r="D505" t="s">
        <v>23</v>
      </c>
      <c r="E505" t="s">
        <v>68</v>
      </c>
      <c r="F505" t="s">
        <v>69</v>
      </c>
      <c r="G505">
        <v>5</v>
      </c>
      <c r="H505" s="3">
        <v>89</v>
      </c>
      <c r="I505" s="4">
        <v>0.15</v>
      </c>
      <c r="J505" s="3">
        <f>G505*H505*(1-I505)</f>
        <v>0</v>
      </c>
      <c r="K505" s="3">
        <f>G505*H505*0.65</f>
        <v>0</v>
      </c>
      <c r="L505" s="3">
        <f>J505-K505</f>
        <v>0</v>
      </c>
    </row>
    <row r="506" spans="1:12">
      <c r="A506" t="s">
        <v>569</v>
      </c>
      <c r="B506" s="2">
        <v>45593</v>
      </c>
      <c r="C506" t="s">
        <v>35</v>
      </c>
      <c r="D506" t="s">
        <v>23</v>
      </c>
      <c r="E506" t="s">
        <v>24</v>
      </c>
      <c r="F506" t="s">
        <v>147</v>
      </c>
      <c r="G506">
        <v>3</v>
      </c>
      <c r="H506" s="3">
        <v>95</v>
      </c>
      <c r="I506" s="4">
        <v>0</v>
      </c>
      <c r="J506" s="3">
        <f>G506*H506*(1-I506)</f>
        <v>0</v>
      </c>
      <c r="K506" s="3">
        <f>G506*H506*0.65</f>
        <v>0</v>
      </c>
      <c r="L506" s="3">
        <f>J506-K506</f>
        <v>0</v>
      </c>
    </row>
    <row r="507" spans="1:12">
      <c r="A507" t="s">
        <v>570</v>
      </c>
      <c r="B507" s="2">
        <v>45237</v>
      </c>
      <c r="C507" t="s">
        <v>55</v>
      </c>
      <c r="D507" t="s">
        <v>14</v>
      </c>
      <c r="E507" t="s">
        <v>15</v>
      </c>
      <c r="F507" t="s">
        <v>80</v>
      </c>
      <c r="G507">
        <v>6</v>
      </c>
      <c r="H507" s="3">
        <v>95</v>
      </c>
      <c r="I507" s="4">
        <v>0.1</v>
      </c>
      <c r="J507" s="3">
        <f>G507*H507*(1-I507)</f>
        <v>0</v>
      </c>
      <c r="K507" s="3">
        <f>G507*H507*0.65</f>
        <v>0</v>
      </c>
      <c r="L507" s="3">
        <f>J507-K507</f>
        <v>0</v>
      </c>
    </row>
    <row r="508" spans="1:12">
      <c r="A508" t="s">
        <v>571</v>
      </c>
      <c r="B508" s="2">
        <v>44651</v>
      </c>
      <c r="C508" t="s">
        <v>13</v>
      </c>
      <c r="D508" t="s">
        <v>14</v>
      </c>
      <c r="E508" t="s">
        <v>27</v>
      </c>
      <c r="F508" t="s">
        <v>28</v>
      </c>
      <c r="G508">
        <v>4</v>
      </c>
      <c r="H508" s="3">
        <v>119</v>
      </c>
      <c r="I508" s="4">
        <v>0.05</v>
      </c>
      <c r="J508" s="3">
        <f>G508*H508*(1-I508)</f>
        <v>0</v>
      </c>
      <c r="K508" s="3">
        <f>G508*H508*0.65</f>
        <v>0</v>
      </c>
      <c r="L508" s="3">
        <f>J508-K508</f>
        <v>0</v>
      </c>
    </row>
    <row r="509" spans="1:12">
      <c r="A509" t="s">
        <v>572</v>
      </c>
      <c r="B509" s="2">
        <v>45259</v>
      </c>
      <c r="C509" t="s">
        <v>35</v>
      </c>
      <c r="D509" t="s">
        <v>14</v>
      </c>
      <c r="E509" t="s">
        <v>15</v>
      </c>
      <c r="F509" t="s">
        <v>115</v>
      </c>
      <c r="G509">
        <v>9</v>
      </c>
      <c r="H509" s="3">
        <v>42</v>
      </c>
      <c r="I509" s="4">
        <v>0.1</v>
      </c>
      <c r="J509" s="3">
        <f>G509*H509*(1-I509)</f>
        <v>0</v>
      </c>
      <c r="K509" s="3">
        <f>G509*H509*0.65</f>
        <v>0</v>
      </c>
      <c r="L509" s="3">
        <f>J509-K509</f>
        <v>0</v>
      </c>
    </row>
    <row r="510" spans="1:12">
      <c r="A510" t="s">
        <v>573</v>
      </c>
      <c r="B510" s="2">
        <v>45101</v>
      </c>
      <c r="C510" t="s">
        <v>13</v>
      </c>
      <c r="D510" t="s">
        <v>14</v>
      </c>
      <c r="E510" t="s">
        <v>57</v>
      </c>
      <c r="F510" t="s">
        <v>58</v>
      </c>
      <c r="G510">
        <v>13</v>
      </c>
      <c r="H510" s="3">
        <v>85</v>
      </c>
      <c r="I510" s="4">
        <v>0</v>
      </c>
      <c r="J510" s="3">
        <f>G510*H510*(1-I510)</f>
        <v>0</v>
      </c>
      <c r="K510" s="3">
        <f>G510*H510*0.65</f>
        <v>0</v>
      </c>
      <c r="L510" s="3">
        <f>J510-K510</f>
        <v>0</v>
      </c>
    </row>
    <row r="511" spans="1:12">
      <c r="A511" t="s">
        <v>574</v>
      </c>
      <c r="B511" s="2">
        <v>45293</v>
      </c>
      <c r="C511" t="s">
        <v>18</v>
      </c>
      <c r="D511" t="s">
        <v>14</v>
      </c>
      <c r="E511" t="s">
        <v>57</v>
      </c>
      <c r="F511" t="s">
        <v>65</v>
      </c>
      <c r="G511">
        <v>3</v>
      </c>
      <c r="H511" s="3">
        <v>140</v>
      </c>
      <c r="I511" s="4">
        <v>0.05</v>
      </c>
      <c r="J511" s="3">
        <f>G511*H511*(1-I511)</f>
        <v>0</v>
      </c>
      <c r="K511" s="3">
        <f>G511*H511*0.65</f>
        <v>0</v>
      </c>
      <c r="L511" s="3">
        <f>J511-K511</f>
        <v>0</v>
      </c>
    </row>
    <row r="512" spans="1:12">
      <c r="A512" t="s">
        <v>575</v>
      </c>
      <c r="B512" s="2">
        <v>45430</v>
      </c>
      <c r="C512" t="s">
        <v>43</v>
      </c>
      <c r="D512" t="s">
        <v>23</v>
      </c>
      <c r="E512" t="s">
        <v>36</v>
      </c>
      <c r="F512" t="s">
        <v>74</v>
      </c>
      <c r="G512">
        <v>4</v>
      </c>
      <c r="H512" s="3">
        <v>308</v>
      </c>
      <c r="I512" s="4">
        <v>0.05</v>
      </c>
      <c r="J512" s="3">
        <f>G512*H512*(1-I512)</f>
        <v>0</v>
      </c>
      <c r="K512" s="3">
        <f>G512*H512*0.65</f>
        <v>0</v>
      </c>
      <c r="L512" s="3">
        <f>J512-K512</f>
        <v>0</v>
      </c>
    </row>
    <row r="513" spans="1:12">
      <c r="A513" t="s">
        <v>576</v>
      </c>
      <c r="B513" s="2">
        <v>44602</v>
      </c>
      <c r="C513" t="s">
        <v>18</v>
      </c>
      <c r="D513" t="s">
        <v>23</v>
      </c>
      <c r="E513" t="s">
        <v>36</v>
      </c>
      <c r="F513" t="s">
        <v>76</v>
      </c>
      <c r="G513">
        <v>7</v>
      </c>
      <c r="H513" s="3">
        <v>63</v>
      </c>
      <c r="I513" s="4">
        <v>0.1</v>
      </c>
      <c r="J513" s="3">
        <f>G513*H513*(1-I513)</f>
        <v>0</v>
      </c>
      <c r="K513" s="3">
        <f>G513*H513*0.65</f>
        <v>0</v>
      </c>
      <c r="L513" s="3">
        <f>J513-K513</f>
        <v>0</v>
      </c>
    </row>
    <row r="514" spans="1:12">
      <c r="A514" t="s">
        <v>577</v>
      </c>
      <c r="B514" s="2">
        <v>45301</v>
      </c>
      <c r="C514" t="s">
        <v>35</v>
      </c>
      <c r="D514" t="s">
        <v>23</v>
      </c>
      <c r="E514" t="s">
        <v>24</v>
      </c>
      <c r="F514" t="s">
        <v>147</v>
      </c>
      <c r="G514">
        <v>7</v>
      </c>
      <c r="H514" s="3">
        <v>68</v>
      </c>
      <c r="I514" s="4">
        <v>0</v>
      </c>
      <c r="J514" s="3">
        <f>G514*H514*(1-I514)</f>
        <v>0</v>
      </c>
      <c r="K514" s="3">
        <f>G514*H514*0.65</f>
        <v>0</v>
      </c>
      <c r="L514" s="3">
        <f>J514-K514</f>
        <v>0</v>
      </c>
    </row>
    <row r="515" spans="1:12">
      <c r="A515" t="s">
        <v>578</v>
      </c>
      <c r="B515" s="2">
        <v>45063</v>
      </c>
      <c r="C515" t="s">
        <v>55</v>
      </c>
      <c r="D515" t="s">
        <v>23</v>
      </c>
      <c r="E515" t="s">
        <v>24</v>
      </c>
      <c r="F515" t="s">
        <v>25</v>
      </c>
      <c r="G515">
        <v>12</v>
      </c>
      <c r="H515" s="3">
        <v>96</v>
      </c>
      <c r="I515" s="4">
        <v>0.1</v>
      </c>
      <c r="J515" s="3">
        <f>G515*H515*(1-I515)</f>
        <v>0</v>
      </c>
      <c r="K515" s="3">
        <f>G515*H515*0.65</f>
        <v>0</v>
      </c>
      <c r="L515" s="3">
        <f>J515-K515</f>
        <v>0</v>
      </c>
    </row>
    <row r="516" spans="1:12">
      <c r="A516" t="s">
        <v>579</v>
      </c>
      <c r="B516" s="2">
        <v>45520</v>
      </c>
      <c r="C516" t="s">
        <v>13</v>
      </c>
      <c r="D516" t="s">
        <v>14</v>
      </c>
      <c r="E516" t="s">
        <v>27</v>
      </c>
      <c r="F516" t="s">
        <v>101</v>
      </c>
      <c r="G516">
        <v>12</v>
      </c>
      <c r="H516" s="3">
        <v>37</v>
      </c>
      <c r="I516" s="4">
        <v>0</v>
      </c>
      <c r="J516" s="3">
        <f>G516*H516*(1-I516)</f>
        <v>0</v>
      </c>
      <c r="K516" s="3">
        <f>G516*H516*0.65</f>
        <v>0</v>
      </c>
      <c r="L516" s="3">
        <f>J516-K516</f>
        <v>0</v>
      </c>
    </row>
    <row r="517" spans="1:12">
      <c r="A517" t="s">
        <v>580</v>
      </c>
      <c r="B517" s="2">
        <v>45490</v>
      </c>
      <c r="C517" t="s">
        <v>43</v>
      </c>
      <c r="D517" t="s">
        <v>14</v>
      </c>
      <c r="E517" t="s">
        <v>27</v>
      </c>
      <c r="F517" t="s">
        <v>101</v>
      </c>
      <c r="G517">
        <v>4</v>
      </c>
      <c r="H517" s="3">
        <v>116</v>
      </c>
      <c r="I517" s="4">
        <v>0.1</v>
      </c>
      <c r="J517" s="3">
        <f>G517*H517*(1-I517)</f>
        <v>0</v>
      </c>
      <c r="K517" s="3">
        <f>G517*H517*0.65</f>
        <v>0</v>
      </c>
      <c r="L517" s="3">
        <f>J517-K517</f>
        <v>0</v>
      </c>
    </row>
    <row r="518" spans="1:12">
      <c r="A518" t="s">
        <v>581</v>
      </c>
      <c r="B518" s="2">
        <v>45022</v>
      </c>
      <c r="C518" t="s">
        <v>13</v>
      </c>
      <c r="D518" t="s">
        <v>14</v>
      </c>
      <c r="E518" t="s">
        <v>15</v>
      </c>
      <c r="F518" t="s">
        <v>115</v>
      </c>
      <c r="G518">
        <v>6</v>
      </c>
      <c r="H518" s="3">
        <v>107</v>
      </c>
      <c r="I518" s="4">
        <v>0.1</v>
      </c>
      <c r="J518" s="3">
        <f>G518*H518*(1-I518)</f>
        <v>0</v>
      </c>
      <c r="K518" s="3">
        <f>G518*H518*0.65</f>
        <v>0</v>
      </c>
      <c r="L518" s="3">
        <f>J518-K518</f>
        <v>0</v>
      </c>
    </row>
    <row r="519" spans="1:12">
      <c r="A519" t="s">
        <v>582</v>
      </c>
      <c r="B519" s="2">
        <v>45293</v>
      </c>
      <c r="C519" t="s">
        <v>35</v>
      </c>
      <c r="D519" t="s">
        <v>19</v>
      </c>
      <c r="E519" t="s">
        <v>20</v>
      </c>
      <c r="F519" t="s">
        <v>172</v>
      </c>
      <c r="G519">
        <v>12</v>
      </c>
      <c r="H519" s="3">
        <v>819</v>
      </c>
      <c r="I519" s="4">
        <v>0.1</v>
      </c>
      <c r="J519" s="3">
        <f>G519*H519*(1-I519)</f>
        <v>0</v>
      </c>
      <c r="K519" s="3">
        <f>G519*H519*0.65</f>
        <v>0</v>
      </c>
      <c r="L519" s="3">
        <f>J519-K519</f>
        <v>0</v>
      </c>
    </row>
    <row r="520" spans="1:12">
      <c r="A520" t="s">
        <v>583</v>
      </c>
      <c r="B520" s="2">
        <v>45313</v>
      </c>
      <c r="C520" t="s">
        <v>13</v>
      </c>
      <c r="D520" t="s">
        <v>23</v>
      </c>
      <c r="E520" t="s">
        <v>36</v>
      </c>
      <c r="F520" t="s">
        <v>37</v>
      </c>
      <c r="G520">
        <v>13</v>
      </c>
      <c r="H520" s="3">
        <v>84</v>
      </c>
      <c r="I520" s="4">
        <v>0.05</v>
      </c>
      <c r="J520" s="3">
        <f>G520*H520*(1-I520)</f>
        <v>0</v>
      </c>
      <c r="K520" s="3">
        <f>G520*H520*0.65</f>
        <v>0</v>
      </c>
      <c r="L520" s="3">
        <f>J520-K520</f>
        <v>0</v>
      </c>
    </row>
    <row r="521" spans="1:12">
      <c r="A521" t="s">
        <v>584</v>
      </c>
      <c r="B521" s="2">
        <v>45486</v>
      </c>
      <c r="C521" t="s">
        <v>43</v>
      </c>
      <c r="D521" t="s">
        <v>23</v>
      </c>
      <c r="E521" t="s">
        <v>24</v>
      </c>
      <c r="F521" t="s">
        <v>147</v>
      </c>
      <c r="G521">
        <v>3</v>
      </c>
      <c r="H521" s="3">
        <v>56</v>
      </c>
      <c r="I521" s="4">
        <v>0.05</v>
      </c>
      <c r="J521" s="3">
        <f>G521*H521*(1-I521)</f>
        <v>0</v>
      </c>
      <c r="K521" s="3">
        <f>G521*H521*0.65</f>
        <v>0</v>
      </c>
      <c r="L521" s="3">
        <f>J521-K521</f>
        <v>0</v>
      </c>
    </row>
    <row r="522" spans="1:12">
      <c r="A522" t="s">
        <v>585</v>
      </c>
      <c r="B522" s="2">
        <v>45470</v>
      </c>
      <c r="C522" t="s">
        <v>35</v>
      </c>
      <c r="D522" t="s">
        <v>14</v>
      </c>
      <c r="E522" t="s">
        <v>27</v>
      </c>
      <c r="F522" t="s">
        <v>28</v>
      </c>
      <c r="G522">
        <v>6</v>
      </c>
      <c r="H522" s="3">
        <v>147</v>
      </c>
      <c r="I522" s="4">
        <v>0.15</v>
      </c>
      <c r="J522" s="3">
        <f>G522*H522*(1-I522)</f>
        <v>0</v>
      </c>
      <c r="K522" s="3">
        <f>G522*H522*0.65</f>
        <v>0</v>
      </c>
      <c r="L522" s="3">
        <f>J522-K522</f>
        <v>0</v>
      </c>
    </row>
    <row r="523" spans="1:12">
      <c r="A523" t="s">
        <v>586</v>
      </c>
      <c r="B523" s="2">
        <v>44951</v>
      </c>
      <c r="C523" t="s">
        <v>13</v>
      </c>
      <c r="D523" t="s">
        <v>23</v>
      </c>
      <c r="E523" t="s">
        <v>68</v>
      </c>
      <c r="F523" t="s">
        <v>152</v>
      </c>
      <c r="G523">
        <v>12</v>
      </c>
      <c r="H523" s="3">
        <v>370</v>
      </c>
      <c r="I523" s="4">
        <v>0</v>
      </c>
      <c r="J523" s="3">
        <f>G523*H523*(1-I523)</f>
        <v>0</v>
      </c>
      <c r="K523" s="3">
        <f>G523*H523*0.65</f>
        <v>0</v>
      </c>
      <c r="L523" s="3">
        <f>J523-K523</f>
        <v>0</v>
      </c>
    </row>
    <row r="524" spans="1:12">
      <c r="A524" t="s">
        <v>587</v>
      </c>
      <c r="B524" s="2">
        <v>45444</v>
      </c>
      <c r="C524" t="s">
        <v>55</v>
      </c>
      <c r="D524" t="s">
        <v>23</v>
      </c>
      <c r="E524" t="s">
        <v>36</v>
      </c>
      <c r="F524" t="s">
        <v>76</v>
      </c>
      <c r="G524">
        <v>2</v>
      </c>
      <c r="H524" s="3">
        <v>132</v>
      </c>
      <c r="I524" s="4">
        <v>0.05</v>
      </c>
      <c r="J524" s="3">
        <f>G524*H524*(1-I524)</f>
        <v>0</v>
      </c>
      <c r="K524" s="3">
        <f>G524*H524*0.65</f>
        <v>0</v>
      </c>
      <c r="L524" s="3">
        <f>J524-K524</f>
        <v>0</v>
      </c>
    </row>
    <row r="525" spans="1:12">
      <c r="A525" t="s">
        <v>588</v>
      </c>
      <c r="B525" s="2">
        <v>44817</v>
      </c>
      <c r="C525" t="s">
        <v>35</v>
      </c>
      <c r="D525" t="s">
        <v>14</v>
      </c>
      <c r="E525" t="s">
        <v>15</v>
      </c>
      <c r="F525" t="s">
        <v>33</v>
      </c>
      <c r="G525">
        <v>8</v>
      </c>
      <c r="H525" s="3">
        <v>82</v>
      </c>
      <c r="I525" s="4">
        <v>0.05</v>
      </c>
      <c r="J525" s="3">
        <f>G525*H525*(1-I525)</f>
        <v>0</v>
      </c>
      <c r="K525" s="3">
        <f>G525*H525*0.65</f>
        <v>0</v>
      </c>
      <c r="L525" s="3">
        <f>J525-K525</f>
        <v>0</v>
      </c>
    </row>
    <row r="526" spans="1:12">
      <c r="A526" t="s">
        <v>589</v>
      </c>
      <c r="B526" s="2">
        <v>45270</v>
      </c>
      <c r="C526" t="s">
        <v>35</v>
      </c>
      <c r="D526" t="s">
        <v>19</v>
      </c>
      <c r="E526" t="s">
        <v>30</v>
      </c>
      <c r="F526" t="s">
        <v>31</v>
      </c>
      <c r="G526">
        <v>2</v>
      </c>
      <c r="H526" s="3">
        <v>738</v>
      </c>
      <c r="I526" s="4">
        <v>0.1</v>
      </c>
      <c r="J526" s="3">
        <f>G526*H526*(1-I526)</f>
        <v>0</v>
      </c>
      <c r="K526" s="3">
        <f>G526*H526*0.65</f>
        <v>0</v>
      </c>
      <c r="L526" s="3">
        <f>J526-K526</f>
        <v>0</v>
      </c>
    </row>
    <row r="527" spans="1:12">
      <c r="A527" t="s">
        <v>590</v>
      </c>
      <c r="B527" s="2">
        <v>45011</v>
      </c>
      <c r="C527" t="s">
        <v>55</v>
      </c>
      <c r="D527" t="s">
        <v>19</v>
      </c>
      <c r="E527" t="s">
        <v>45</v>
      </c>
      <c r="F527" t="s">
        <v>46</v>
      </c>
      <c r="G527">
        <v>11</v>
      </c>
      <c r="H527" s="3">
        <v>94</v>
      </c>
      <c r="I527" s="4">
        <v>0</v>
      </c>
      <c r="J527" s="3">
        <f>G527*H527*(1-I527)</f>
        <v>0</v>
      </c>
      <c r="K527" s="3">
        <f>G527*H527*0.65</f>
        <v>0</v>
      </c>
      <c r="L527" s="3">
        <f>J527-K527</f>
        <v>0</v>
      </c>
    </row>
    <row r="528" spans="1:12">
      <c r="A528" t="s">
        <v>591</v>
      </c>
      <c r="B528" s="2">
        <v>44571</v>
      </c>
      <c r="C528" t="s">
        <v>18</v>
      </c>
      <c r="D528" t="s">
        <v>19</v>
      </c>
      <c r="E528" t="s">
        <v>30</v>
      </c>
      <c r="F528" t="s">
        <v>83</v>
      </c>
      <c r="G528">
        <v>7</v>
      </c>
      <c r="H528" s="3">
        <v>46</v>
      </c>
      <c r="I528" s="4">
        <v>0.05</v>
      </c>
      <c r="J528" s="3">
        <f>G528*H528*(1-I528)</f>
        <v>0</v>
      </c>
      <c r="K528" s="3">
        <f>G528*H528*0.65</f>
        <v>0</v>
      </c>
      <c r="L528" s="3">
        <f>J528-K528</f>
        <v>0</v>
      </c>
    </row>
    <row r="529" spans="1:12">
      <c r="A529" t="s">
        <v>592</v>
      </c>
      <c r="B529" s="2">
        <v>45385</v>
      </c>
      <c r="C529" t="s">
        <v>43</v>
      </c>
      <c r="D529" t="s">
        <v>14</v>
      </c>
      <c r="E529" t="s">
        <v>27</v>
      </c>
      <c r="F529" t="s">
        <v>140</v>
      </c>
      <c r="G529">
        <v>9</v>
      </c>
      <c r="H529" s="3">
        <v>134</v>
      </c>
      <c r="I529" s="4">
        <v>0.1</v>
      </c>
      <c r="J529" s="3">
        <f>G529*H529*(1-I529)</f>
        <v>0</v>
      </c>
      <c r="K529" s="3">
        <f>G529*H529*0.65</f>
        <v>0</v>
      </c>
      <c r="L529" s="3">
        <f>J529-K529</f>
        <v>0</v>
      </c>
    </row>
    <row r="530" spans="1:12">
      <c r="A530" t="s">
        <v>593</v>
      </c>
      <c r="B530" s="2">
        <v>45359</v>
      </c>
      <c r="C530" t="s">
        <v>18</v>
      </c>
      <c r="D530" t="s">
        <v>23</v>
      </c>
      <c r="E530" t="s">
        <v>24</v>
      </c>
      <c r="F530" t="s">
        <v>25</v>
      </c>
      <c r="G530">
        <v>1</v>
      </c>
      <c r="H530" s="3">
        <v>59</v>
      </c>
      <c r="I530" s="4">
        <v>0</v>
      </c>
      <c r="J530" s="3">
        <f>G530*H530*(1-I530)</f>
        <v>0</v>
      </c>
      <c r="K530" s="3">
        <f>G530*H530*0.65</f>
        <v>0</v>
      </c>
      <c r="L530" s="3">
        <f>J530-K530</f>
        <v>0</v>
      </c>
    </row>
    <row r="531" spans="1:12">
      <c r="A531" t="s">
        <v>594</v>
      </c>
      <c r="B531" s="2">
        <v>45438</v>
      </c>
      <c r="C531" t="s">
        <v>13</v>
      </c>
      <c r="D531" t="s">
        <v>14</v>
      </c>
      <c r="E531" t="s">
        <v>57</v>
      </c>
      <c r="F531" t="s">
        <v>149</v>
      </c>
      <c r="G531">
        <v>8</v>
      </c>
      <c r="H531" s="3">
        <v>17</v>
      </c>
      <c r="I531" s="4">
        <v>0.15</v>
      </c>
      <c r="J531" s="3">
        <f>G531*H531*(1-I531)</f>
        <v>0</v>
      </c>
      <c r="K531" s="3">
        <f>G531*H531*0.65</f>
        <v>0</v>
      </c>
      <c r="L531" s="3">
        <f>J531-K531</f>
        <v>0</v>
      </c>
    </row>
    <row r="532" spans="1:12">
      <c r="A532" t="s">
        <v>595</v>
      </c>
      <c r="B532" s="2">
        <v>45590</v>
      </c>
      <c r="C532" t="s">
        <v>55</v>
      </c>
      <c r="D532" t="s">
        <v>14</v>
      </c>
      <c r="E532" t="s">
        <v>15</v>
      </c>
      <c r="F532" t="s">
        <v>16</v>
      </c>
      <c r="G532">
        <v>7</v>
      </c>
      <c r="H532" s="3">
        <v>23</v>
      </c>
      <c r="I532" s="4">
        <v>0</v>
      </c>
      <c r="J532" s="3">
        <f>G532*H532*(1-I532)</f>
        <v>0</v>
      </c>
      <c r="K532" s="3">
        <f>G532*H532*0.65</f>
        <v>0</v>
      </c>
      <c r="L532" s="3">
        <f>J532-K532</f>
        <v>0</v>
      </c>
    </row>
    <row r="533" spans="1:12">
      <c r="A533" t="s">
        <v>596</v>
      </c>
      <c r="B533" s="2">
        <v>45577</v>
      </c>
      <c r="C533" t="s">
        <v>18</v>
      </c>
      <c r="D533" t="s">
        <v>23</v>
      </c>
      <c r="E533" t="s">
        <v>36</v>
      </c>
      <c r="F533" t="s">
        <v>41</v>
      </c>
      <c r="G533">
        <v>6</v>
      </c>
      <c r="H533" s="3">
        <v>82</v>
      </c>
      <c r="I533" s="4">
        <v>0</v>
      </c>
      <c r="J533" s="3">
        <f>G533*H533*(1-I533)</f>
        <v>0</v>
      </c>
      <c r="K533" s="3">
        <f>G533*H533*0.65</f>
        <v>0</v>
      </c>
      <c r="L533" s="3">
        <f>J533-K533</f>
        <v>0</v>
      </c>
    </row>
    <row r="534" spans="1:12">
      <c r="A534" t="s">
        <v>597</v>
      </c>
      <c r="B534" s="2">
        <v>44935</v>
      </c>
      <c r="C534" t="s">
        <v>35</v>
      </c>
      <c r="D534" t="s">
        <v>19</v>
      </c>
      <c r="E534" t="s">
        <v>45</v>
      </c>
      <c r="F534" t="s">
        <v>97</v>
      </c>
      <c r="G534">
        <v>6</v>
      </c>
      <c r="H534" s="3">
        <v>48</v>
      </c>
      <c r="I534" s="4">
        <v>0</v>
      </c>
      <c r="J534" s="3">
        <f>G534*H534*(1-I534)</f>
        <v>0</v>
      </c>
      <c r="K534" s="3">
        <f>G534*H534*0.65</f>
        <v>0</v>
      </c>
      <c r="L534" s="3">
        <f>J534-K534</f>
        <v>0</v>
      </c>
    </row>
    <row r="535" spans="1:12">
      <c r="A535" t="s">
        <v>598</v>
      </c>
      <c r="B535" s="2">
        <v>45650</v>
      </c>
      <c r="C535" t="s">
        <v>13</v>
      </c>
      <c r="D535" t="s">
        <v>19</v>
      </c>
      <c r="E535" t="s">
        <v>45</v>
      </c>
      <c r="F535" t="s">
        <v>99</v>
      </c>
      <c r="G535">
        <v>6</v>
      </c>
      <c r="H535" s="3">
        <v>86</v>
      </c>
      <c r="I535" s="4">
        <v>0</v>
      </c>
      <c r="J535" s="3">
        <f>G535*H535*(1-I535)</f>
        <v>0</v>
      </c>
      <c r="K535" s="3">
        <f>G535*H535*0.65</f>
        <v>0</v>
      </c>
      <c r="L535" s="3">
        <f>J535-K535</f>
        <v>0</v>
      </c>
    </row>
    <row r="536" spans="1:12">
      <c r="A536" t="s">
        <v>599</v>
      </c>
      <c r="B536" s="2">
        <v>44707</v>
      </c>
      <c r="C536" t="s">
        <v>13</v>
      </c>
      <c r="D536" t="s">
        <v>14</v>
      </c>
      <c r="E536" t="s">
        <v>27</v>
      </c>
      <c r="F536" t="s">
        <v>101</v>
      </c>
      <c r="G536">
        <v>9</v>
      </c>
      <c r="H536" s="3">
        <v>54</v>
      </c>
      <c r="I536" s="4">
        <v>0.15</v>
      </c>
      <c r="J536" s="3">
        <f>G536*H536*(1-I536)</f>
        <v>0</v>
      </c>
      <c r="K536" s="3">
        <f>G536*H536*0.65</f>
        <v>0</v>
      </c>
      <c r="L536" s="3">
        <f>J536-K536</f>
        <v>0</v>
      </c>
    </row>
    <row r="537" spans="1:12">
      <c r="A537" t="s">
        <v>600</v>
      </c>
      <c r="B537" s="2">
        <v>44785</v>
      </c>
      <c r="C537" t="s">
        <v>18</v>
      </c>
      <c r="D537" t="s">
        <v>19</v>
      </c>
      <c r="E537" t="s">
        <v>45</v>
      </c>
      <c r="F537" t="s">
        <v>97</v>
      </c>
      <c r="G537">
        <v>2</v>
      </c>
      <c r="H537" s="3">
        <v>115</v>
      </c>
      <c r="I537" s="4">
        <v>0</v>
      </c>
      <c r="J537" s="3">
        <f>G537*H537*(1-I537)</f>
        <v>0</v>
      </c>
      <c r="K537" s="3">
        <f>G537*H537*0.65</f>
        <v>0</v>
      </c>
      <c r="L537" s="3">
        <f>J537-K537</f>
        <v>0</v>
      </c>
    </row>
    <row r="538" spans="1:12">
      <c r="A538" t="s">
        <v>601</v>
      </c>
      <c r="B538" s="2">
        <v>44738</v>
      </c>
      <c r="C538" t="s">
        <v>18</v>
      </c>
      <c r="D538" t="s">
        <v>14</v>
      </c>
      <c r="E538" t="s">
        <v>15</v>
      </c>
      <c r="F538" t="s">
        <v>80</v>
      </c>
      <c r="G538">
        <v>1</v>
      </c>
      <c r="H538" s="3">
        <v>60</v>
      </c>
      <c r="I538" s="4">
        <v>0.05</v>
      </c>
      <c r="J538" s="3">
        <f>G538*H538*(1-I538)</f>
        <v>0</v>
      </c>
      <c r="K538" s="3">
        <f>G538*H538*0.65</f>
        <v>0</v>
      </c>
      <c r="L538" s="3">
        <f>J538-K538</f>
        <v>0</v>
      </c>
    </row>
    <row r="539" spans="1:12">
      <c r="A539" t="s">
        <v>602</v>
      </c>
      <c r="B539" s="2">
        <v>45414</v>
      </c>
      <c r="C539" t="s">
        <v>55</v>
      </c>
      <c r="D539" t="s">
        <v>14</v>
      </c>
      <c r="E539" t="s">
        <v>15</v>
      </c>
      <c r="F539" t="s">
        <v>16</v>
      </c>
      <c r="G539">
        <v>13</v>
      </c>
      <c r="H539" s="3">
        <v>21</v>
      </c>
      <c r="I539" s="4">
        <v>0</v>
      </c>
      <c r="J539" s="3">
        <f>G539*H539*(1-I539)</f>
        <v>0</v>
      </c>
      <c r="K539" s="3">
        <f>G539*H539*0.65</f>
        <v>0</v>
      </c>
      <c r="L539" s="3">
        <f>J539-K539</f>
        <v>0</v>
      </c>
    </row>
    <row r="540" spans="1:12">
      <c r="A540" t="s">
        <v>603</v>
      </c>
      <c r="B540" s="2">
        <v>44624</v>
      </c>
      <c r="C540" t="s">
        <v>43</v>
      </c>
      <c r="D540" t="s">
        <v>23</v>
      </c>
      <c r="E540" t="s">
        <v>68</v>
      </c>
      <c r="F540" t="s">
        <v>240</v>
      </c>
      <c r="G540">
        <v>12</v>
      </c>
      <c r="H540" s="3">
        <v>84</v>
      </c>
      <c r="I540" s="4">
        <v>0.05</v>
      </c>
      <c r="J540" s="3">
        <f>G540*H540*(1-I540)</f>
        <v>0</v>
      </c>
      <c r="K540" s="3">
        <f>G540*H540*0.65</f>
        <v>0</v>
      </c>
      <c r="L540" s="3">
        <f>J540-K540</f>
        <v>0</v>
      </c>
    </row>
    <row r="541" spans="1:12">
      <c r="A541" t="s">
        <v>604</v>
      </c>
      <c r="B541" s="2">
        <v>45388</v>
      </c>
      <c r="C541" t="s">
        <v>18</v>
      </c>
      <c r="D541" t="s">
        <v>23</v>
      </c>
      <c r="E541" t="s">
        <v>36</v>
      </c>
      <c r="F541" t="s">
        <v>76</v>
      </c>
      <c r="G541">
        <v>6</v>
      </c>
      <c r="H541" s="3">
        <v>52</v>
      </c>
      <c r="I541" s="4">
        <v>0.05</v>
      </c>
      <c r="J541" s="3">
        <f>G541*H541*(1-I541)</f>
        <v>0</v>
      </c>
      <c r="K541" s="3">
        <f>G541*H541*0.65</f>
        <v>0</v>
      </c>
      <c r="L541" s="3">
        <f>J541-K541</f>
        <v>0</v>
      </c>
    </row>
    <row r="542" spans="1:12">
      <c r="A542" t="s">
        <v>605</v>
      </c>
      <c r="B542" s="2">
        <v>45356</v>
      </c>
      <c r="C542" t="s">
        <v>18</v>
      </c>
      <c r="D542" t="s">
        <v>23</v>
      </c>
      <c r="E542" t="s">
        <v>68</v>
      </c>
      <c r="F542" t="s">
        <v>69</v>
      </c>
      <c r="G542">
        <v>10</v>
      </c>
      <c r="H542" s="3">
        <v>61</v>
      </c>
      <c r="I542" s="4">
        <v>0</v>
      </c>
      <c r="J542" s="3">
        <f>G542*H542*(1-I542)</f>
        <v>0</v>
      </c>
      <c r="K542" s="3">
        <f>G542*H542*0.65</f>
        <v>0</v>
      </c>
      <c r="L542" s="3">
        <f>J542-K542</f>
        <v>0</v>
      </c>
    </row>
    <row r="543" spans="1:12">
      <c r="A543" t="s">
        <v>606</v>
      </c>
      <c r="B543" s="2">
        <v>45250</v>
      </c>
      <c r="C543" t="s">
        <v>35</v>
      </c>
      <c r="D543" t="s">
        <v>14</v>
      </c>
      <c r="E543" t="s">
        <v>15</v>
      </c>
      <c r="F543" t="s">
        <v>80</v>
      </c>
      <c r="G543">
        <v>11</v>
      </c>
      <c r="H543" s="3">
        <v>91</v>
      </c>
      <c r="I543" s="4">
        <v>0</v>
      </c>
      <c r="J543" s="3">
        <f>G543*H543*(1-I543)</f>
        <v>0</v>
      </c>
      <c r="K543" s="3">
        <f>G543*H543*0.65</f>
        <v>0</v>
      </c>
      <c r="L543" s="3">
        <f>J543-K543</f>
        <v>0</v>
      </c>
    </row>
    <row r="544" spans="1:12">
      <c r="A544" t="s">
        <v>607</v>
      </c>
      <c r="B544" s="2">
        <v>44666</v>
      </c>
      <c r="C544" t="s">
        <v>13</v>
      </c>
      <c r="D544" t="s">
        <v>23</v>
      </c>
      <c r="E544" t="s">
        <v>36</v>
      </c>
      <c r="F544" t="s">
        <v>74</v>
      </c>
      <c r="G544">
        <v>8</v>
      </c>
      <c r="H544" s="3">
        <v>223</v>
      </c>
      <c r="I544" s="4">
        <v>0.1</v>
      </c>
      <c r="J544" s="3">
        <f>G544*H544*(1-I544)</f>
        <v>0</v>
      </c>
      <c r="K544" s="3">
        <f>G544*H544*0.65</f>
        <v>0</v>
      </c>
      <c r="L544" s="3">
        <f>J544-K544</f>
        <v>0</v>
      </c>
    </row>
    <row r="545" spans="1:12">
      <c r="A545" t="s">
        <v>608</v>
      </c>
      <c r="B545" s="2">
        <v>45072</v>
      </c>
      <c r="C545" t="s">
        <v>43</v>
      </c>
      <c r="D545" t="s">
        <v>19</v>
      </c>
      <c r="E545" t="s">
        <v>30</v>
      </c>
      <c r="F545" t="s">
        <v>31</v>
      </c>
      <c r="G545">
        <v>3</v>
      </c>
      <c r="H545" s="3">
        <v>709</v>
      </c>
      <c r="I545" s="4">
        <v>0</v>
      </c>
      <c r="J545" s="3">
        <f>G545*H545*(1-I545)</f>
        <v>0</v>
      </c>
      <c r="K545" s="3">
        <f>G545*H545*0.65</f>
        <v>0</v>
      </c>
      <c r="L545" s="3">
        <f>J545-K545</f>
        <v>0</v>
      </c>
    </row>
    <row r="546" spans="1:12">
      <c r="A546" t="s">
        <v>609</v>
      </c>
      <c r="B546" s="2">
        <v>44946</v>
      </c>
      <c r="C546" t="s">
        <v>35</v>
      </c>
      <c r="D546" t="s">
        <v>19</v>
      </c>
      <c r="E546" t="s">
        <v>30</v>
      </c>
      <c r="F546" t="s">
        <v>83</v>
      </c>
      <c r="G546">
        <v>12</v>
      </c>
      <c r="H546" s="3">
        <v>129</v>
      </c>
      <c r="I546" s="4">
        <v>0.05</v>
      </c>
      <c r="J546" s="3">
        <f>G546*H546*(1-I546)</f>
        <v>0</v>
      </c>
      <c r="K546" s="3">
        <f>G546*H546*0.65</f>
        <v>0</v>
      </c>
      <c r="L546" s="3">
        <f>J546-K546</f>
        <v>0</v>
      </c>
    </row>
    <row r="547" spans="1:12">
      <c r="A547" t="s">
        <v>610</v>
      </c>
      <c r="B547" s="2">
        <v>44966</v>
      </c>
      <c r="C547" t="s">
        <v>55</v>
      </c>
      <c r="D547" t="s">
        <v>14</v>
      </c>
      <c r="E547" t="s">
        <v>15</v>
      </c>
      <c r="F547" t="s">
        <v>33</v>
      </c>
      <c r="G547">
        <v>10</v>
      </c>
      <c r="H547" s="3">
        <v>101</v>
      </c>
      <c r="I547" s="4">
        <v>0</v>
      </c>
      <c r="J547" s="3">
        <f>G547*H547*(1-I547)</f>
        <v>0</v>
      </c>
      <c r="K547" s="3">
        <f>G547*H547*0.65</f>
        <v>0</v>
      </c>
      <c r="L547" s="3">
        <f>J547-K547</f>
        <v>0</v>
      </c>
    </row>
    <row r="548" spans="1:12">
      <c r="A548" t="s">
        <v>611</v>
      </c>
      <c r="B548" s="2">
        <v>45384</v>
      </c>
      <c r="C548" t="s">
        <v>55</v>
      </c>
      <c r="D548" t="s">
        <v>14</v>
      </c>
      <c r="E548" t="s">
        <v>15</v>
      </c>
      <c r="F548" t="s">
        <v>33</v>
      </c>
      <c r="G548">
        <v>1</v>
      </c>
      <c r="H548" s="3">
        <v>83</v>
      </c>
      <c r="I548" s="4">
        <v>0.1</v>
      </c>
      <c r="J548" s="3">
        <f>G548*H548*(1-I548)</f>
        <v>0</v>
      </c>
      <c r="K548" s="3">
        <f>G548*H548*0.65</f>
        <v>0</v>
      </c>
      <c r="L548" s="3">
        <f>J548-K548</f>
        <v>0</v>
      </c>
    </row>
    <row r="549" spans="1:12">
      <c r="A549" t="s">
        <v>612</v>
      </c>
      <c r="B549" s="2">
        <v>45079</v>
      </c>
      <c r="C549" t="s">
        <v>18</v>
      </c>
      <c r="D549" t="s">
        <v>23</v>
      </c>
      <c r="E549" t="s">
        <v>36</v>
      </c>
      <c r="F549" t="s">
        <v>76</v>
      </c>
      <c r="G549">
        <v>9</v>
      </c>
      <c r="H549" s="3">
        <v>81</v>
      </c>
      <c r="I549" s="4">
        <v>0</v>
      </c>
      <c r="J549" s="3">
        <f>G549*H549*(1-I549)</f>
        <v>0</v>
      </c>
      <c r="K549" s="3">
        <f>G549*H549*0.65</f>
        <v>0</v>
      </c>
      <c r="L549" s="3">
        <f>J549-K549</f>
        <v>0</v>
      </c>
    </row>
    <row r="550" spans="1:12">
      <c r="A550" t="s">
        <v>613</v>
      </c>
      <c r="B550" s="2">
        <v>45037</v>
      </c>
      <c r="C550" t="s">
        <v>18</v>
      </c>
      <c r="D550" t="s">
        <v>14</v>
      </c>
      <c r="E550" t="s">
        <v>57</v>
      </c>
      <c r="F550" t="s">
        <v>121</v>
      </c>
      <c r="G550">
        <v>13</v>
      </c>
      <c r="H550" s="3">
        <v>49</v>
      </c>
      <c r="I550" s="4">
        <v>0.05</v>
      </c>
      <c r="J550" s="3">
        <f>G550*H550*(1-I550)</f>
        <v>0</v>
      </c>
      <c r="K550" s="3">
        <f>G550*H550*0.65</f>
        <v>0</v>
      </c>
      <c r="L550" s="3">
        <f>J550-K550</f>
        <v>0</v>
      </c>
    </row>
    <row r="551" spans="1:12">
      <c r="A551" t="s">
        <v>614</v>
      </c>
      <c r="B551" s="2">
        <v>45270</v>
      </c>
      <c r="C551" t="s">
        <v>55</v>
      </c>
      <c r="D551" t="s">
        <v>14</v>
      </c>
      <c r="E551" t="s">
        <v>27</v>
      </c>
      <c r="F551" t="s">
        <v>63</v>
      </c>
      <c r="G551">
        <v>13</v>
      </c>
      <c r="H551" s="3">
        <v>61</v>
      </c>
      <c r="I551" s="4">
        <v>0</v>
      </c>
      <c r="J551" s="3">
        <f>G551*H551*(1-I551)</f>
        <v>0</v>
      </c>
      <c r="K551" s="3">
        <f>G551*H551*0.65</f>
        <v>0</v>
      </c>
      <c r="L551" s="3">
        <f>J551-K551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615</v>
      </c>
      <c r="B1" s="1" t="s">
        <v>616</v>
      </c>
      <c r="C1" s="1" t="s">
        <v>617</v>
      </c>
    </row>
    <row r="2" spans="1:3">
      <c r="A2" t="s">
        <v>618</v>
      </c>
      <c r="B2" t="s">
        <v>619</v>
      </c>
      <c r="C2">
        <f>TRIM(F2)</f>
        <v>0</v>
      </c>
    </row>
    <row r="3" spans="1:3">
      <c r="A3" t="s">
        <v>620</v>
      </c>
      <c r="B3" t="s">
        <v>621</v>
      </c>
      <c r="C3">
        <f>IFERROR(VLOOKUP(F2, PriceTable, 2, 0), 0)</f>
        <v>0</v>
      </c>
    </row>
    <row r="4" spans="1:3">
      <c r="A4" t="s">
        <v>622</v>
      </c>
      <c r="B4" t="s">
        <v>623</v>
      </c>
      <c r="C4">
        <f>IFERROR(L2/J2, 0)</f>
        <v>0</v>
      </c>
    </row>
    <row r="5" spans="1:3">
      <c r="A5" t="s">
        <v>624</v>
      </c>
      <c r="B5" t="s">
        <v>625</v>
      </c>
      <c r="C5" t="s">
        <v>626</v>
      </c>
    </row>
    <row r="6" spans="1:3">
      <c r="A6" t="s">
        <v>627</v>
      </c>
      <c r="B6" t="s">
        <v>628</v>
      </c>
      <c r="C6">
        <f>UPPER(C2)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629</v>
      </c>
    </row>
    <row r="2" spans="1:2">
      <c r="A2" t="s">
        <v>19</v>
      </c>
      <c r="B2" s="3">
        <f>SUMIFS('Raw Data'!$J$2:$J$551, 'Raw Data'!$D$2:$D$551, A2)</f>
        <v>0</v>
      </c>
    </row>
    <row r="3" spans="1:2">
      <c r="A3" t="s">
        <v>23</v>
      </c>
      <c r="B3" s="3">
        <f>SUMIFS('Raw Data'!$J$2:$J$551, 'Raw Data'!$D$2:$D$551, A3)</f>
        <v>0</v>
      </c>
    </row>
    <row r="4" spans="1:2">
      <c r="A4" t="s">
        <v>14</v>
      </c>
      <c r="B4" s="3">
        <f>SUMIFS('Raw Data'!$J$2:$J$551, 'Raw Data'!$D$2:$D$551, A4)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5"/>
  <sheetViews>
    <sheetView workbookViewId="0"/>
  </sheetViews>
  <sheetFormatPr defaultRowHeight="15"/>
  <cols>
    <col min="1" max="2" width="25.7109375" customWidth="1"/>
  </cols>
  <sheetData>
    <row r="2" spans="1:2">
      <c r="A2" s="5" t="s">
        <v>629</v>
      </c>
      <c r="B2" s="3">
        <f>SUM('Raw Data'!J:J)</f>
        <v>0</v>
      </c>
    </row>
    <row r="3" spans="1:2">
      <c r="A3" s="5" t="s">
        <v>630</v>
      </c>
      <c r="B3" s="3">
        <f>SUM('Raw Data'!L:L)</f>
        <v>0</v>
      </c>
    </row>
    <row r="4" spans="1:2">
      <c r="A4" s="5" t="s">
        <v>631</v>
      </c>
      <c r="B4" s="4">
        <f>B3/B2</f>
        <v>0</v>
      </c>
    </row>
    <row r="5" spans="1:2">
      <c r="A5" s="5" t="s">
        <v>632</v>
      </c>
      <c r="B5" s="3">
        <f>AVERAGE('Raw Data'!J:J)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showGridLines="0" workbookViewId="0"/>
  </sheetViews>
  <sheetFormatPr defaultRowHeight="15"/>
  <sheetData>
    <row r="1" spans="1:12">
      <c r="A1" s="6" t="s">
        <v>633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5" spans="1:12">
      <c r="B5" s="7" t="s">
        <v>629</v>
      </c>
      <c r="D5" s="7" t="s">
        <v>630</v>
      </c>
      <c r="F5" s="7" t="s">
        <v>622</v>
      </c>
    </row>
    <row r="6" spans="1:12">
      <c r="B6" s="3">
        <f>'KPI Summary'!B2</f>
        <v>0</v>
      </c>
      <c r="D6" s="3">
        <f>'KPI Summary'!B3</f>
        <v>0</v>
      </c>
      <c r="F6" s="4">
        <f>'KPI Summary'!B4</f>
        <v>0</v>
      </c>
    </row>
  </sheetData>
  <mergeCells count="1">
    <mergeCell ref="A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Data Cleaning</vt:lpstr>
      <vt:lpstr>Analysis</vt:lpstr>
      <vt:lpstr>KPI Summary</vt:lpstr>
      <vt:lpstr>Charts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2026-03-24T12:17:58Z</dcterms:created>
  <dcterms:modified xsi:type="dcterms:W3CDTF">2026-03-24T12:17:58Z</dcterms:modified>
</cp:coreProperties>
</file>